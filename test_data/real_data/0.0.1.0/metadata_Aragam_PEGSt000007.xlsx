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f3d0cd8b814374" /></Relationships>
</file>

<file path=xl/workbook.xml><?xml version="1.0" encoding="utf-8"?>
<x:workbook xmlns:x="http://schemas.openxmlformats.org/spreadsheetml/2006/main">
  <x:sheets>
    <x:sheet xmlns:r="http://schemas.openxmlformats.org/officeDocument/2006/relationships" name="DatasetDescription" sheetId="1" r:id="R437fc47b70c14832"/>
    <x:sheet xmlns:r="http://schemas.openxmlformats.org/officeDocument/2006/relationships" name="GenomicIdentifier" sheetId="2" r:id="R370e587296ec40f1"/>
    <x:sheet xmlns:r="http://schemas.openxmlformats.org/officeDocument/2006/relationships" name="Evidence" sheetId="3" r:id="R952072e6a96149c1"/>
    <x:sheet xmlns:r="http://schemas.openxmlformats.org/officeDocument/2006/relationships" name="validation" state="hidden" sheetId="4" r:id="Re6c58350dec243fb"/>
    <x:sheet xmlns:r="http://schemas.openxmlformats.org/officeDocument/2006/relationships" name="Integration" sheetId="5" r:id="R6a040f2dbfe54fce"/>
    <x:sheet xmlns:r="http://schemas.openxmlformats.org/officeDocument/2006/relationships" name="Source" sheetId="6" r:id="Rd547cf28e580432d"/>
    <x:sheet xmlns:r="http://schemas.openxmlformats.org/officeDocument/2006/relationships" name="Method" sheetId="7" r:id="R98dd1c67c5794456"/>
  </x:sheets>
</x:workbook>
</file>

<file path=xl/sharedStrings.xml><?xml version="1.0" encoding="utf-8"?>
<x:sst xmlns:x="http://schemas.openxmlformats.org/spreadsheetml/2006/main">
  <x:si>
    <x:t xml:space="preserve">Free-text description of the phenotype under investigation.</x:t>
  </x:si>
  <x:si>
    <x:t xml:space="preserve">Standard ontology identifier mapped to the trait (e.g., EFO, MONDO, HPO, DOID).</x:t>
  </x:si>
  <x:si>
    <x:t xml:space="preserve">Identifier of the origin of the PEG list (e.g., publication, DOI, preprint, URL).</x:t>
  </x:si>
  <x:si>
    <x:t xml:space="preserve">Identifier of the GWAS source. Prefer GWAS Catalog accession (GCST); if not available, use PubMed ID, doi, url</x:t>
  </x:si>
  <x:si>
    <x:t xml:space="preserve">Detailed description of the GWAS samples.</x:t>
  </x:si>
  <x:si>
    <x:t xml:space="preserve">Total number of individuals included in the GWAS analysis.</x:t>
  </x:si>
  <x:si>
    <x:t xml:space="preserve">Indicator of whether the GWAS design is case–control (TRUE or FALSE).</x:t>
  </x:si>
  <x:si>
    <x:t xml:space="preserve">Free-text description of participant ancestry</x:t>
  </x:si>
  <x:si>
    <x:t xml:space="preserve">Broad ancestry category that best describes the sample. Multiple values can be listed separated by '|'.</x:t>
  </x:si>
  <x:si>
    <x:t xml:space="preserve">trait_description</x:t>
  </x:si>
  <x:si>
    <x:t xml:space="preserve">trait_ontology_id</x:t>
  </x:si>
  <x:si>
    <x:t xml:space="preserve">peg_source</x:t>
  </x:si>
  <x:si>
    <x:t xml:space="preserve">gwas_source</x:t>
  </x:si>
  <x:si>
    <x:t xml:space="preserve">gwas_samples_description</x:t>
  </x:si>
  <x:si>
    <x:t xml:space="preserve">gwas_sample_size</x:t>
  </x:si>
  <x:si>
    <x:t xml:space="preserve">gwas_case_control_study</x:t>
  </x:si>
  <x:si>
    <x:t xml:space="preserve">gwas_sample_ancestry</x:t>
  </x:si>
  <x:si>
    <x:t xml:space="preserve">gwas_sample_ancestry_label</x:t>
  </x:si>
  <x:si>
    <x:t xml:space="preserve">Ascorbic acid 3-sulfate levels</x:t>
  </x:si>
  <x:si>
    <x:t xml:space="preserve">EFO_0800173</x:t>
  </x:si>
  <x:si>
    <x:t xml:space="preserve">PMID:36357675</x:t>
  </x:si>
  <x:si>
    <x:t xml:space="preserve">GCST000001</x:t>
  </x:si>
  <x:si>
    <x:t xml:space="preserve">6,136 Finnish ancestry individuals</x:t>
  </x:si>
  <x:si>
    <x:t xml:space="preserve">Finland</x:t>
  </x:si>
  <x:si>
    <x:t xml:space="preserve">European</x:t>
  </x:si>
  <x:si>
    <x:t xml:space="preserve">coronary artery disease</x:t>
  </x:si>
  <x:si>
    <x:t xml:space="preserve">EFO_0001645</x:t>
  </x:si>
  <x:si>
    <x:t xml:space="preserve">PMID:36474045</x:t>
  </x:si>
  <x:si>
    <x:t xml:space="preserve">GCST90132315 </x:t>
  </x:si>
  <x:si>
    <x:t xml:space="preserve">Explanation of how the main variant was selected  (e.g., lead, sentinel, index, mixed).</x:t>
  </x:si>
  <x:si>
    <x:t xml:space="preserve">Additional free-text notes about the variant</x:t>
  </x:si>
  <x:si>
    <x:t xml:space="preserve">Genome assembly used to map variants.</x:t>
  </x:si>
  <x:si>
    <x:t xml:space="preserve">Version of the source database used for gene symbols/IDs (e.g., HGNC version).</x:t>
  </x:si>
  <x:si>
    <x:t xml:space="preserve">Version of the gene symbol reference authority</x:t>
  </x:si>
  <x:si>
    <x:t xml:space="preserve">Additional gene-level metadata that supports interpretation.</x:t>
  </x:si>
  <x:si>
    <x:t xml:space="preserve">Method used to define locus boundaries</x:t>
  </x:si>
  <x:si>
    <x:t xml:space="preserve">Provide the explanation of how the identifier was derived</x:t>
  </x:si>
  <x:si>
    <x:t xml:space="preserve">Additional information supporting locus interpretation.</x:t>
  </x:si>
  <x:si>
    <x:t xml:space="preserve">variant_type</x:t>
  </x:si>
  <x:si>
    <x:t xml:space="preserve">variant_information</x:t>
  </x:si>
  <x:si>
    <x:t xml:space="preserve">genome_build</x:t>
  </x:si>
  <x:si>
    <x:t xml:space="preserve">gene_id_source_version</x:t>
  </x:si>
  <x:si>
    <x:t xml:space="preserve">gene_symbol_source_version</x:t>
  </x:si>
  <x:si>
    <x:t xml:space="preserve">info</x:t>
  </x:si>
  <x:si>
    <x:t xml:space="preserve">locus_type</x:t>
  </x:si>
  <x:si>
    <x:t xml:space="preserve">locus_id</x:t>
  </x:si>
  <x:si>
    <x:t xml:space="preserve">locus_info</x:t>
  </x:si>
  <x:si>
    <x:t xml:space="preserve">lead</x:t>
  </x:si>
  <x:si>
    <x:t xml:space="preserve">The primary variant is the variant with the most significant association p-value in the study</x:t>
  </x:si>
  <x:si>
    <x:t xml:space="preserve">GRCh38</x:t>
  </x:si>
  <x:si>
    <x:t xml:space="preserve">Ensembl v109</x:t>
  </x:si>
  <x:si>
    <x:t xml:space="preserve">HGNC 2025-07-30</x:t>
  </x:si>
  <x:si>
    <x:t xml:space="preserve">NA</x:t>
  </x:si>
  <x:si>
    <x:t xml:space="preserve">lead_variant +/- 500kb</x:t>
  </x:si>
  <x:si>
    <x:t xml:space="preserve">lead_variant</x:t>
  </x:si>
  <x:si>
    <x:t xml:space="preserve">Locus information</x:t>
  </x:si>
  <x:si>
    <x:t xml:space="preserve">significant</x:t>
  </x:si>
  <x:si>
    <x:t xml:space="preserve">279 significant associations from GWAS meta-analysis</x:t>
  </x:si>
  <x:si>
    <x:t xml:space="preserve"> GRCh37</x:t>
  </x:si>
  <x:si>
    <x:t xml:space="preserve">All protein-coding genes within 500 kb of all 279 genome-wide association</x:t>
  </x:si>
  <x:si>
    <x:t xml:space="preserve">Unique column name used in the PEG evidence matrix.</x:t>
  </x:si>
  <x:si>
    <x:t xml:space="preserve">Free text explanation of the content in this column..</x:t>
  </x:si>
  <x:si>
    <x:t xml:space="preserve">Specific analysis stream within the evidence category.</x:t>
  </x:si>
  <x:si>
    <x:t xml:space="preserve">Full evidence category name from the controlled list.</x:t>
  </x:si>
  <x:si>
    <x:t xml:space="preserve">Short label assigned from the controlled list of evidence categories.</x:t>
  </x:si>
  <x:si>
    <x:t xml:space="preserve">Indicates whether the evidence originates from variant-level or gene-level analysis.</x:t>
  </x:si>
  <x:si>
    <x:t xml:space="preserve">Identifier for the data source, created in the source tab.</x:t>
  </x:si>
  <x:si>
    <x:t xml:space="preserve">Identifier for the analysis method, created in the method tab.</x:t>
  </x:si>
  <x:si>
    <x:t xml:space="preserve">Threshold applied to define significance or inclusion criteria.</x:t>
  </x:si>
  <x:si>
    <x:t xml:space="preserve">Additional free text clarifications to aid interpretation.</x:t>
  </x:si>
  <x:si>
    <x:t xml:space="preserve">column_header</x:t>
  </x:si>
  <x:si>
    <x:t xml:space="preserve">column_description</x:t>
  </x:si>
  <x:si>
    <x:t xml:space="preserve">evidence_stream_tag</x:t>
  </x:si>
  <x:si>
    <x:t xml:space="preserve">evidence_category</x:t>
  </x:si>
  <x:si>
    <x:t xml:space="preserve">evidence_category_abbreviation</x:t>
  </x:si>
  <x:si>
    <x:t xml:space="preserve">variant_or_gene_centric</x:t>
  </x:si>
  <x:si>
    <x:t xml:space="preserve">source_tag</x:t>
  </x:si>
  <x:si>
    <x:t xml:space="preserve">method_tag</x:t>
  </x:si>
  <x:si>
    <x:t xml:space="preserve">threshold</x:t>
  </x:si>
  <x:si>
    <x:t xml:space="preserve">note</x:t>
  </x:si>
  <x:si>
    <x:t xml:space="preserve">QTL_eQTL-aorta (p_value)</x:t>
  </x:si>
  <x:si>
    <x:t xml:space="preserve">p-value from eQTL analysis in aorta tissue</x:t>
  </x:si>
  <x:si>
    <x:t xml:space="preserve">eQTL</x:t>
  </x:si>
  <x:si>
    <x:t xml:space="preserve">Molecular QTL</x:t>
  </x:si>
  <x:si>
    <x:t xml:space="preserve">QTL</x:t>
  </x:si>
  <x:si>
    <x:t xml:space="preserve">variant-centric</x:t>
  </x:si>
  <x:si>
    <x:t xml:space="preserve">source_gtex_aorta</x:t>
  </x:si>
  <x:si>
    <x:t xml:space="preserve">soft_fastqtl</x:t>
  </x:si>
  <x:si>
    <x:t xml:space="preserve">p_value &lt; 0.05</x:t>
  </x:si>
  <x:si>
    <x:t xml:space="preserve">GWAS_Pvalue</x:t>
  </x:si>
  <x:si>
    <x:t xml:space="preserve">The p-value of association between the variant and the trait from GWAS.</x:t>
  </x:si>
  <x:si>
    <x:t xml:space="preserve">Genome-wide association (GWAS) signal</x:t>
  </x:si>
  <x:si>
    <x:t xml:space="preserve">GWAS_Beta</x:t>
  </x:si>
  <x:si>
    <x:t xml:space="preserve">The effect size estimate from GWAS; indicates the direction and magnitude of the allele’s effect on the trait.</x:t>
  </x:si>
  <x:si>
    <x:t xml:space="preserve">FM_PPA</x:t>
  </x:si>
  <x:si>
    <x:t xml:space="preserve">Posterior probability that the variant is causal for the trait based on fine-mapping analysis.</x:t>
  </x:si>
  <x:si>
    <x:t xml:space="preserve">Finemapping and credible sets</x:t>
  </x:si>
  <x:si>
    <x:t xml:space="preserve">FM_FGWAS_MostEnrichedTissue</x:t>
  </x:si>
  <x:si>
    <x:t xml:space="preserve">The most significantly enriched tissue identified by functionally informed fine-mapping (FGWAS) for the locus.</x:t>
  </x:si>
  <x:si>
    <x:t xml:space="preserve">soft_fgwas</x:t>
  </x:si>
  <x:si>
    <x:t xml:space="preserve">PROX</x:t>
  </x:si>
  <x:si>
    <x:t xml:space="preserve">If the gene is the nearest gene to the CAD sentinel variant.</x:t>
  </x:si>
  <x:si>
    <x:t xml:space="preserve">Proximity to gene (distance)</x:t>
  </x:si>
  <x:si>
    <x:t xml:space="preserve">Summary of the tissue-specific enrichment and functionally-informed fine-mapped for the 127 regions enriched in at least one of the ten enriched CAD-relevant tissues. Enrichments showing a &gt;3SD increment in Bayes Factor (BF) are highlighted in red. 
NULLBF = Bayes Factor under the null model; BESTBFJUMP = maximum increment (i.e. enrichment) observed across the ten tissues; PPA = posterior probability of association; HUVEC = human umbilical vein endothelial cells; HSMM = human skeletal muscle myoblasts.</x:t>
  </x:si>
  <x:si>
    <x:t xml:space="preserve">FUNC_VEPConsequence</x:t>
  </x:si>
  <x:si>
    <x:t xml:space="preserve">Functional consequence of the variant predicted by Ensembl VEP. This column includes only protein altering consequence.</x:t>
  </x:si>
  <x:si>
    <x:t xml:space="preserve">Predicted functional impact</x:t>
  </x:si>
  <x:si>
    <x:t xml:space="preserve">soft_vep</x:t>
  </x:si>
  <x:si>
    <x:t xml:space="preserve">protein-altering</x:t>
  </x:si>
  <x:si>
    <x:t xml:space="preserve">QTL_eQTL_GtexPvalue</x:t>
  </x:si>
  <x:si>
    <x:t xml:space="preserve">pvalue for the gene in the region has an eQTL in a CAD-relevant tissue from GTEx for which the lead eSNP is in high linkage disequilibrium (LD) (r2 ≥ 0.8) with the CAD sentinel variant </x:t>
  </x:si>
  <x:si>
    <x:t xml:space="preserve">source_eqtl</x:t>
  </x:si>
  <x:si>
    <x:t xml:space="preserve">soft_eqtl</x:t>
  </x:si>
  <x:si>
    <x:t xml:space="preserve">FDR&lt;5%</x:t>
  </x:si>
  <x:si>
    <x:t xml:space="preserve">eQTL look-ups from CAD-relevant tissues (adipose [subcutaneous, visceral omentum], adrenal gland, artery [aorta, coronary, tibial], liver and whole blood) in GTEx v7. Associations are only shown where the eQTL reached a 5% false-discovery rate threshold and the lead eQTL variant was in high LD (r2≥0.8) with the CAD sentinel variant.  Nominal P values were estimated using a two-tailed t-test.
eQTL = expression quantitative trait locus.</x:t>
  </x:si>
  <x:si>
    <x:t xml:space="preserve">QTL_eQTL_GtexSlope</x:t>
  </x:si>
  <x:si>
    <x:t xml:space="preserve">slop for the gene in the region has an eQTL in a CAD-relevant tissue from GTEx for which the lead eSNP is in high linkage disequilibrium (LD) (r2 ≥ 0.8) with the CAD sentinel variant </x:t>
  </x:si>
  <x:si>
    <x:t xml:space="preserve">QTL_eQTL_GtexTissue</x:t>
  </x:si>
  <x:si>
    <x:t xml:space="preserve">Lists the GTEx tissue(s) where the variant–gene pair shows a statistically significant</x:t>
  </x:si>
  <x:si>
    <x:t xml:space="preserve">PHEWAS_UKBBDiseases</x:t>
  </x:si>
  <x:si>
    <x:t xml:space="preserve">Significant associations with diseases in UK Biobank are listed for each of the 241 conditionally independent genome-wide associations with CAD from the primary meta-analysis.  (+) and (-) denote direction of association with specified disease/trait, as oriented to the CAD risk-increasing allele. </x:t>
  </x:si>
  <x:si>
    <x:t xml:space="preserve">PheWAS (Phenome-Wide Association Study)</x:t>
  </x:si>
  <x:si>
    <x:t xml:space="preserve">source_ukbb</x:t>
  </x:si>
  <x:si>
    <x:t xml:space="preserve">soft_phewas</x:t>
  </x:si>
  <x:si>
    <x:t xml:space="preserve">GENEBASE_Rare5SKATO</x:t>
  </x:si>
  <x:si>
    <x:t xml:space="preserve">P-value from gene-based association analysis using SKAT-O, aggregating rare variants (MAF≤ 0.05)</x:t>
  </x:si>
  <x:si>
    <x:t xml:space="preserve">Gene-based association</x:t>
  </x:si>
  <x:si>
    <x:t xml:space="preserve">gene-centric</x:t>
  </x:si>
  <x:si>
    <x:t xml:space="preserve">soft_skato</x:t>
  </x:si>
  <x:si>
    <x:t xml:space="preserve">‘NA’ denotes that this gene could not be tested using this mask due to insufficient variants. including Missense, frameshift, stop gain, stop loss, splice site variants which MAF&lt;5%                                                                                        </x:t>
  </x:si>
  <x:si>
    <x:t xml:space="preserve">PERTURB_MousePhenotype</x:t>
  </x:si>
  <x:si>
    <x:t xml:space="preserve">a gene for which a mouse knock-out has a cardiovascular-relevant phenotype</x:t>
  </x:si>
  <x:si>
    <x:t xml:space="preserve">Perturbation</x:t>
  </x:si>
  <x:si>
    <x:t xml:space="preserve">source_pertub_mouse</x:t>
  </x:si>
  <x:si>
    <x:t xml:space="preserve">List of cardiovascular-relevant mouse phenotypes for gene knockouts of genes in genome-wide significant association regions. Columns describe the gene (including HGNC and Mouse Genome Informatics IDs), the mouse model ID and description, and the mouse phenotyping ID and description. The table is ordered alphabetically by gene name.</x:t>
  </x:si>
  <x:si>
    <x:t xml:space="preserve">PERTURB_MouseModel</x:t>
  </x:si>
  <x:si>
    <x:t xml:space="preserve">Specifies the mouse model or experimental system used to test gene perturbation effects, particularly those leading to cardiovascular-relevant phenotypes.</x:t>
  </x:si>
  <x:si>
    <x:t xml:space="preserve">DB_ClinVar</x:t>
  </x:si>
  <x:si>
    <x:t xml:space="preserve">List of genes in CAD-associated regions for which pathogenic (or likely pathogenic) variants were found in ClinVar for phenotypes and disorders related to CAD. </x:t>
  </x:si>
  <x:si>
    <x:t xml:space="preserve">Association from curated database</x:t>
  </x:si>
  <x:si>
    <x:t xml:space="preserve">source_clinvar</x:t>
  </x:si>
  <x:si>
    <x:t xml:space="preserve">The report disease to the gene in the region harbors a variant that ClinVar classifies as having evidence for being pathogenic for a cardiovascular-relevant monogenic disorder</x:t>
  </x:si>
  <x:si>
    <x:t xml:space="preserve">CHROMATIN</x:t>
  </x:si>
  <x:si>
    <x:t xml:space="preserve">Chromatin interaction</x:t>
  </x:si>
  <x:si>
    <x:t xml:space="preserve">COLOC</x:t>
  </x:si>
  <x:si>
    <x:t xml:space="preserve">Colocalisation</x:t>
  </x:si>
  <x:si>
    <x:t xml:space="preserve">CROSSP</x:t>
  </x:si>
  <x:si>
    <x:t xml:space="preserve">Cross-phenotype</x:t>
  </x:si>
  <x:si>
    <x:t xml:space="preserve">DB</x:t>
  </x:si>
  <x:si>
    <x:t xml:space="preserve">DRUG</x:t>
  </x:si>
  <x:si>
    <x:t xml:space="preserve">Drug related</x:t>
  </x:si>
  <x:si>
    <x:t xml:space="preserve">EXP</x:t>
  </x:si>
  <x:si>
    <x:t xml:space="preserve">Expression</x:t>
  </x:si>
  <x:si>
    <x:t xml:space="preserve">FUNC</x:t>
  </x:si>
  <x:si>
    <x:t xml:space="preserve">GENEBASE</x:t>
  </x:si>
  <x:si>
    <x:t xml:space="preserve">GWAS</x:t>
  </x:si>
  <x:si>
    <x:t xml:space="preserve">KNOW</x:t>
  </x:si>
  <x:si>
    <x:t xml:space="preserve">Biological Knowledge Inference</x:t>
  </x:si>
  <x:si>
    <x:t xml:space="preserve">LD</x:t>
  </x:si>
  <x:si>
    <x:t xml:space="preserve">Linkage disequilibrium</x:t>
  </x:si>
  <x:si>
    <x:t xml:space="preserve">LIT</x:t>
  </x:si>
  <x:si>
    <x:t xml:space="preserve">Literature curation</x:t>
  </x:si>
  <x:si>
    <x:t xml:space="preserve">MR</x:t>
  </x:si>
  <x:si>
    <x:t xml:space="preserve">Mendelian Randomization (MR)</x:t>
  </x:si>
  <x:si>
    <x:t xml:space="preserve">OTHER</x:t>
  </x:si>
  <x:si>
    <x:t xml:space="preserve">Other</x:t>
  </x:si>
  <x:si>
    <x:t xml:space="preserve">PERTURB</x:t>
  </x:si>
  <x:si>
    <x:t xml:space="preserve">PHEWAS</x:t>
  </x:si>
  <x:si>
    <x:t xml:space="preserve">PPI</x:t>
  </x:si>
  <x:si>
    <x:t xml:space="preserve">Protein–protein interaction</x:t>
  </x:si>
  <x:si>
    <x:t xml:space="preserve">REG</x:t>
  </x:si>
  <x:si>
    <x:t xml:space="preserve">Regulatory region</x:t>
  </x:si>
  <x:si>
    <x:t xml:space="preserve">SET</x:t>
  </x:si>
  <x:si>
    <x:t xml:space="preserve">Pathway or gene sets</x:t>
  </x:si>
  <x:si>
    <x:t xml:space="preserve">TPWAS</x:t>
  </x:si>
  <x:si>
    <x:t xml:space="preserve">Genetically predicted trait association (TWAS/PWAS)</x:t>
  </x:si>
  <x:si>
    <x:t xml:space="preserve">Author-assigned analysis name that can be cited as evidence in the integrated_analysis_name field.</x:t>
  </x:si>
  <x:si>
    <x:t xml:space="preserve">Free text explanation of the content in this column.</x:t>
  </x:si>
  <x:si>
    <x:t xml:space="preserve">Indicates when values in this column reflect the authors’ conclusions for defining the PEG list. NOTE: only **ONE** column per matrix can be assiged as `True`. We recommend including the string 'author_conclusion' in the appropirate column header.</x:t>
  </x:si>
  <x:si>
    <x:t xml:space="preserve">A list of variant-centric or gene-centric evidence stream names combined in the integration.</x:t>
  </x:si>
  <x:si>
    <x:t xml:space="preserve">A list of integration_tag values from other integration analyses that are included in this integration analysis</x:t>
  </x:si>
  <x:si>
    <x:t xml:space="preserve">Identifier for the analysis method (from Method tab).</x:t>
  </x:si>
  <x:si>
    <x:t xml:space="preserve">Extra details to aid interpretation.</x:t>
  </x:si>
  <x:si>
    <x:t xml:space="preserve">integration_tag</x:t>
  </x:si>
  <x:si>
    <x:t xml:space="preserve">author_conclusion</x:t>
  </x:si>
  <x:si>
    <x:t xml:space="preserve">evidence_streams_included</x:t>
  </x:si>
  <x:si>
    <x:t xml:space="preserve">integrations_included</x:t>
  </x:si>
  <x:si>
    <x:t xml:space="preserve">pops</x:t>
  </x:si>
  <x:si>
    <x:t xml:space="preserve">INT_pops</x:t>
  </x:si>
  <x:si>
    <x:t xml:space="preserve">Integrated score based on multiple evidence types for the gene</x:t>
  </x:si>
  <x:si>
    <x:t xml:space="preserve">TRUE</x:t>
  </x:si>
  <x:si>
    <x:t xml:space="preserve">FUNC | eQTL | pQTL | FM | 3d |PHEWAS |TWAS</x:t>
  </x:si>
  <x:si>
    <x:t xml:space="preserve">pops | flames</x:t>
  </x:si>
  <x:si>
    <x:t xml:space="preserve">soft_pops</x:t>
  </x:si>
  <x:si>
    <x:t xml:space="preserve">0.05</x:t>
  </x:si>
  <x:si>
    <x:t xml:space="preserve">INT_pops_score</x:t>
  </x:si>
  <x:si>
    <x:t xml:space="preserve">PoPS score for all genes within a 500kb window of each of the 279 sentinel genome-wide significant associations with CAD; and the top ten PoPS features contributing to the prioritization of each gene.                  </x:t>
  </x:si>
  <x:si>
    <x:t xml:space="preserve"> gene with highest PoPS score within 500kb of sentinel.              </x:t>
  </x:si>
  <x:si>
    <x:t xml:space="preserve">INT_pops_feature1</x:t>
  </x:si>
  <x:si>
    <x:t xml:space="preserve">top PoPS features contributing to the prioritisation of each gene.</x:t>
  </x:si>
  <x:si>
    <x:t xml:space="preserve">nsupport</x:t>
  </x:si>
  <x:si>
    <x:t xml:space="preserve">INT_AuthorConclusion</x:t>
  </x:si>
  <x:si>
    <x:t xml:space="preserve">Number of evidence streams supprting the variant-gene pair to the phenotype</x:t>
  </x:si>
  <x:si>
    <x:t xml:space="preserve">PROX | eQTL |
GENEBASE |
PERTUB |
DB</x:t>
  </x:si>
  <x:si>
    <x:t xml:space="preserve">method_customised</x:t>
  </x:si>
  <x:si>
    <x:t xml:space="preserve">Unique identifier for the source.</x:t>
  </x:si>
  <x:si>
    <x:t xml:space="preserve">Provenance type indicating the origin of the data source. Use lab_internal for unpublished data generated by your lab. Use publication for published data not deposited in a repository. Use the official name of the resource (e.g., GTEx, ENCODE).</x:t>
  </x:si>
  <x:si>
    <x:t xml:space="preserve">Exact filename of the source dataset.</x:t>
  </x:si>
  <x:si>
    <x:t xml:space="preserve">Version or release of the dataset.</x:t>
  </x:si>
  <x:si>
    <x:t xml:space="preserve">Web link to the source file used in the analysis.</x:t>
  </x:si>
  <x:si>
    <x:t xml:space="preserve">Accession identifier if the source file comes from the repository.</x:t>
  </x:si>
  <x:si>
    <x:t xml:space="preserve">DOI for the publication containing the source file.</x:t>
  </x:si>
  <x:si>
    <x:t xml:space="preserve">Extra details to aid interpretation of the source.</x:t>
  </x:si>
  <x:si>
    <x:t xml:space="preserve">Biological origin of the sample (e.g., primary-tissue, organoid, cell-line, iPSC-derived).</x:t>
  </x:si>
  <x:si>
    <x:t xml:space="preserve">Primary tissue sampled (detailed anatomical location).</x:t>
  </x:si>
  <x:si>
    <x:t xml:space="preserve">Specific cell type, if applicable.</x:t>
  </x:si>
  <x:si>
    <x:t xml:space="preserve">Cell line name if sample_origin is "cell-line".</x:t>
  </x:si>
  <x:si>
    <x:t xml:space="preserve">Disease status of the donor or sample.</x:t>
  </x:si>
  <x:si>
    <x:t xml:space="preserve">Developmental stage of the biosample.</x:t>
  </x:si>
  <x:si>
    <x:t xml:space="preserve">Treatments or perturbations applied prior to or during data generation.</x:t>
  </x:si>
  <x:si>
    <x:t xml:space="preserve">Sex composition of samples.</x:t>
  </x:si>
  <x:si>
    <x:t xml:space="preserve">Species of the sample.</x:t>
  </x:si>
  <x:si>
    <x:t xml:space="preserve">Brief summary of sample characteristics and intended use.</x:t>
  </x:si>
  <x:si>
    <x:t xml:space="preserve">provenance</x:t>
  </x:si>
  <x:si>
    <x:t xml:space="preserve">file_name</x:t>
  </x:si>
  <x:si>
    <x:t xml:space="preserve">version</x:t>
  </x:si>
  <x:si>
    <x:t xml:space="preserve">url</x:t>
  </x:si>
  <x:si>
    <x:t xml:space="preserve">accession_id</x:t>
  </x:si>
  <x:si>
    <x:t xml:space="preserve">doi</x:t>
  </x:si>
  <x:si>
    <x:t xml:space="preserve">sample_origin</x:t>
  </x:si>
  <x:si>
    <x:t xml:space="preserve">tissue</x:t>
  </x:si>
  <x:si>
    <x:t xml:space="preserve">cell_type</x:t>
  </x:si>
  <x:si>
    <x:t xml:space="preserve">cell_line</x:t>
  </x:si>
  <x:si>
    <x:t xml:space="preserve">disease</x:t>
  </x:si>
  <x:si>
    <x:t xml:space="preserve">life_stage</x:t>
  </x:si>
  <x:si>
    <x:t xml:space="preserve">treatment</x:t>
  </x:si>
  <x:si>
    <x:t xml:space="preserve">sex</x:t>
  </x:si>
  <x:si>
    <x:t xml:space="preserve">species</x:t>
  </x:si>
  <x:si>
    <x:t xml:space="preserve">description</x:t>
  </x:si>
  <x:si>
    <x:t xml:space="preserve">GTEx</x:t>
  </x:si>
  <x:si>
    <x:t xml:space="preserve">GTEx_Analysis_2017-06-05_v8_RNASeQCv1.1.9_gene_tpm.gct.gz</x:t>
  </x:si>
  <x:si>
    <x:t xml:space="preserve">v8</x:t>
  </x:si>
  <x:si>
    <x:t xml:space="preserve">https://gtexportal.org/</x:t>
  </x:si>
  <x:si>
    <x:t xml:space="preserve">GSE123456</x:t>
  </x:si>
  <x:si>
    <x:t xml:space="preserve">10.1038/s41586-020-2493-4</x:t>
  </x:si>
  <x:si>
    <x:t xml:space="preserve">The analysis includes only samples from individuals aged 20–29.</x:t>
  </x:si>
  <x:si>
    <x:t xml:space="preserve">primary-tissue</x:t>
  </x:si>
  <x:si>
    <x:t xml:space="preserve">aorta</x:t>
  </x:si>
  <x:si>
    <x:t xml:space="preserve">alpha cells</x:t>
  </x:si>
  <x:si>
    <x:t xml:space="preserve">K562</x:t>
  </x:si>
  <x:si>
    <x:t xml:space="preserve">healthy</x:t>
  </x:si>
  <x:si>
    <x:t xml:space="preserve">adult</x:t>
  </x:si>
  <x:si>
    <x:t xml:space="preserve">anti-IgM treated</x:t>
  </x:si>
  <x:si>
    <x:t xml:space="preserve">mixed</x:t>
  </x:si>
  <x:si>
    <x:t xml:space="preserve">human</x:t>
  </x:si>
  <x:si>
    <x:t xml:space="preserve">Bulk pancreas tissue samples from healthy postmortem adult human donors in GTEx v10. Used for eQTL discovery. Samples span male and female donors aged approximately 20–70 years. No treatment applied.</x:t>
  </x:si>
  <x:si>
    <x:t xml:space="preserve">v7</x:t>
  </x:si>
  <x:si>
    <x:t xml:space="preserve">https://www.gtexportal.org/home/datasets</x:t>
  </x:si>
  <x:si>
    <x:t xml:space="preserve">adipose [subcutaneous, visceral omentum], adrenal gland, artery [aorta, coronary,
tibial], liver and whole blood</x:t>
  </x:si>
  <x:si>
    <x:t xml:space="preserve">UK Biobank</x:t>
  </x:si>
  <x:si>
    <x:t xml:space="preserve">https://doi.org/10.1038/s41586-018-0579-z</x:t>
  </x:si>
  <x:si>
    <x:t xml:space="preserve">UK Biobank (UKB) is a prospective study of approximately 500,000 individuals comprising
members of the UK population aged 40-69 collected from multiple sites across the United
Kingdom from 2006-2010 (14).</x:t>
  </x:si>
  <x:si>
    <x:t xml:space="preserve">IMPC</x:t>
  </x:si>
  <x:si>
    <x:t xml:space="preserve">http://www.mousephenotype.org</x:t>
  </x:si>
  <x:si>
    <x:t xml:space="preserve">Mouse Genome Informatics database</x:t>
  </x:si>
  <x:si>
    <x:t xml:space="preserve">http://www.informatics.jax.org</x:t>
  </x:si>
  <x:si>
    <x:t xml:space="preserve">ClinVar </x:t>
  </x:si>
  <x:si>
    <x:t xml:space="preserve">https://www.ncbi.nlm.nih.gov/clinvar/</x:t>
  </x:si>
  <x:si>
    <x:t xml:space="preserve">Unique identifier for the method, used in the PEG evidence and integration metadata.</x:t>
  </x:si>
  <x:si>
    <x:t xml:space="preserve">Specifies whether the method is a published software tool or a manual approach.</x:t>
  </x:si>
  <x:si>
    <x:t xml:space="preserve">Manual assertion:ECO_0000218; Automatic assertion:ECO_0000203;Manually integrated combinatorial evidence: ECO_0007674;Automatically integrated combinatorial evidence: ECO_0007673 </x:t>
  </x:si>
  <x:si>
    <x:t xml:space="preserve">Name of the software used.</x:t>
  </x:si>
  <x:si>
    <x:t xml:space="preserve">Version of the software used.</x:t>
  </x:si>
  <x:si>
    <x:t xml:space="preserve">Link to the official software resource.</x:t>
  </x:si>
  <x:si>
    <x:t xml:space="preserve">DOI of the software or associated publication.</x:t>
  </x:si>
  <x:si>
    <x:t xml:space="preserve">Detailed description of the method, workflow, or customisation applied.</x:t>
  </x:si>
  <x:si>
    <x:t xml:space="preserve">method_mode</x:t>
  </x:si>
  <x:si>
    <x:t xml:space="preserve">method_mode_ontology_term_id</x:t>
  </x:si>
  <x:si>
    <x:t xml:space="preserve">software_name</x:t>
  </x:si>
  <x:si>
    <x:t xml:space="preserve">software_version</x:t>
  </x:si>
  <x:si>
    <x:t xml:space="preserve">software_url</x:t>
  </x:si>
  <x:si>
    <x:t xml:space="preserve">software_doi</x:t>
  </x:si>
  <x:si>
    <x:t xml:space="preserve">method_description</x:t>
  </x:si>
  <x:si>
    <x:t xml:space="preserve">software</x:t>
  </x:si>
  <x:si>
    <x:t xml:space="preserve">ECO_0000203</x:t>
  </x:si>
  <x:si>
    <x:t xml:space="preserve">FastQTL</x:t>
  </x:si>
  <x:si>
    <x:t xml:space="preserve">v1.0</x:t>
  </x:si>
  <x:si>
    <x:t xml:space="preserve">https://github.com/francois-a/fastqtl</x:t>
  </x:si>
  <x:si>
    <x:t xml:space="preserve">10.1093/BIOINFORMATICS/BTV722</x:t>
  </x:si>
  <x:si>
    <x:t xml:space="preserve">Custom scoring model combining eQTL and chromatin interaction data.</x:t>
  </x:si>
  <x:si>
    <x:t xml:space="preserve">Ensembl VEP</x:t>
  </x:si>
  <x:si>
    <x:t xml:space="preserve">v96.0</x:t>
  </x:si>
  <x:si>
    <x:t xml:space="preserve">https://www.ensembl.org/info/docs/tools/vep/index.html</x:t>
  </x:si>
  <x:si>
    <x:t xml:space="preserve">fgwas</x:t>
  </x:si>
  <x:si>
    <x:t xml:space="preserve">https://github.com/joepickrell/fgwas</x:t>
  </x:si>
  <x:si>
    <x:t xml:space="preserve">We cross-referenced the sentinel CAD variants and their proxies (r2≥0.8) with STARNET eQTLs
reaching a 5% FDR for all tissues. To ensure the CAD association and eQTL are likely to be
driven by the same causal variant, we retained only those eQTLs where the CAD-associated
variant and the lead eQTL variant had r2≥0.8 among European ancestry participants from UK
Biobank. </x:t>
  </x:si>
  <x:si>
    <x:t xml:space="preserve">For disease phenotypes, we performed logistic
regression adjusted for age, sex, genotyping array, and the first five principal components. An
association with a disease phenotype was deemed significant at a Bonferroni-corrected threshold
of p-value&lt;3.4x10-6 (53 diseases x 279 genetic variants). Continuous phenotypes were
residualized after adjusting for age, sex, genotyping array, and the first five principal components;
linear regression was performed on residuals following inverse-normal transformation</x:t>
  </x:si>
  <x:si>
    <x:t xml:space="preserve">ECO_0007674</x:t>
  </x:si>
  <x:si>
    <x:t xml:space="preserve">PoPS</x:t>
  </x:si>
  <x:si>
    <x:t xml:space="preserve">https://doi.org/10.1101/2020.09.08.20190561</x:t>
  </x:si>
  <x:si>
    <x:t xml:space="preserve">manual</x:t>
  </x:si>
  <x:si>
    <x:t xml:space="preserve">ECO_0007673</x:t>
  </x:si>
  <x:si>
    <x:t xml:space="preserve">To systematically prioritize likely causal genes for all 279 genome-wide associations, we integrated the following eight of the aforementioned similarity-based or locus-based predictors of causal genes: (1) the top two prioritized genes from PoPS; (2) genes with eQTLs in CAD-relevant tissues from STARNET or GTEx; (3) genes containing protein-altering variants that are in strong LD (r2 ≥ 0.8) with the CAD sentinel variant; (4) genes harboring variants responsible for monogenic disorders of cardiovascular relevance according to ClinVar; (5) genes containing rare coding variants that have been associated with CAD risk in previous WES or array-based studies; (6) genes encoding proteins of causal relevance to CAD per MR studies or that are targets for established cardiovascular drugs; (7) genes that display cardiovascular-relevant phenotypes in knock-out mice from the International Mouse Phenotyping Consortium or Mouse Genome Informatics database; and (8) the nearest gene to the CAD sentinel variant (Fig. 5a). We prioritized the most likely ‘causal gene’ for each association using a consensus-based approach, selecting the gene with the highest, unweighted sum of evidence across all eight predictors.</x:t>
  </x:si>
</x:sst>
</file>

<file path=xl/styles.xml><?xml version="1.0" encoding="utf-8"?>
<x:styleSheet xmlns:x="http://schemas.openxmlformats.org/spreadsheetml/2006/main">
  <x:fonts count="9">
    <x:font>
      <x:sz val="11"/>
      <x:color theme="1"/>
      <x:name val="Calibri"/>
    </x:font>
    <x:font>
      <x:sz val="11"/>
      <x:color rgb="FF8E8E8E"/>
      <x:name val="Calibri"/>
    </x:font>
    <x:font>
      <x:b/>
      <x:sz val="11"/>
      <x:color theme="1"/>
      <x:name val="Calibri"/>
    </x:font>
    <x:font>
      <x:sz val="11"/>
      <x:color rgb="FFB7B7B7"/>
      <x:name val="Calibri"/>
    </x:font>
    <x:font>
      <x:sz val="10"/>
      <x:color theme="1"/>
      <x:name val="Calibri"/>
    </x:font>
    <x:font>
      <x:sz val="10"/>
      <x:color theme="1"/>
      <x:name val="Arial"/>
    </x:font>
    <x:font>
      <x:sz val="10"/>
      <x:color rgb="FF000000"/>
      <x:name val="Arial"/>
    </x:font>
    <x:font>
      <x:sz val="10"/>
      <x:color rgb="FFFF9900"/>
      <x:name val="Arial"/>
    </x:font>
    <x:font>
      <x:sz val="11"/>
      <x:color theme="10"/>
      <x:name val="Calibri"/>
    </x:font>
  </x:fonts>
  <x:fills count="5">
    <x:fill>
      <x:patternFill patternType="none"/>
    </x:fill>
    <x:fill>
      <x:patternFill patternType="gray125"/>
    </x:fill>
    <x:fill>
      <x:patternFill patternType="solid">
        <x:fgColor rgb="FFF2F2F2"/>
      </x:patternFill>
    </x:fill>
    <x:fill>
      <x:patternFill patternType="solid">
        <x:fgColor rgb="FFF8CBAD"/>
      </x:patternFill>
    </x:fill>
    <x:fill>
      <x:patternFill patternType="solid">
        <x:fgColor rgb="FFE7E6E6"/>
      </x:patternFill>
    </x:fill>
  </x:fills>
  <x:borders count="3">
    <x:border/>
    <x:border>
      <x:left style="thin">
        <x:color auto="1"/>
      </x:left>
      <x:right style="thin">
        <x:color auto="1"/>
      </x:right>
      <x:top style="thin">
        <x:color auto="1"/>
      </x:top>
      <x:bottom style="thin">
        <x:color auto="1"/>
      </x:bottom>
    </x:border>
    <x:border>
      <x:left style="thin">
        <x:color auto="1"/>
      </x:left>
      <x:right style="thin">
        <x:color auto="1"/>
      </x:right>
      <x:top style="thin">
        <x:color auto="1"/>
      </x:top>
      <x:bottom style="medium">
        <x:color auto="1"/>
      </x:bottom>
    </x:border>
  </x:borders>
  <x:cellStyleXfs count="2">
    <x:xf numFmtId="0" fontId="0" fillId="0" borderId="0"/>
    <x:xf numFmtId="0" fontId="8" fillId="0" borderId="0" applyNumberFormat="0" applyFill="0" applyBorder="0" applyAlignment="0" applyProtection="0"/>
  </x:cellStyleXfs>
  <x:cellXfs count="12">
    <x:xf numFmtId="0" fontId="0" fillId="0" borderId="0" xfId="0"/>
    <x:xf numFmtId="0" fontId="1" fillId="2" borderId="1" xfId="0" applyFont="1" applyFill="1" applyBorder="1" applyAlignment="1">
      <x:alignment horizontal="left" vertical="center" wrapText="1"/>
    </x:xf>
    <x:xf numFmtId="0" fontId="2" fillId="3" borderId="1" xfId="0" applyFont="1" applyFill="1" applyBorder="1" applyAlignment="1">
      <x:alignment horizontal="left" vertical="center"/>
    </x:xf>
    <x:xf numFmtId="0" fontId="2" fillId="4" borderId="1" xfId="0" applyFont="1" applyFill="1" applyBorder="1" applyAlignment="1">
      <x:alignment horizontal="left" vertical="center"/>
    </x:xf>
    <x:xf numFmtId="0" fontId="3" fillId="0" borderId="2" xfId="0" applyFont="1" applyBorder="1" applyAlignment="1">
      <x:alignment horizontal="left" vertical="center" wrapText="1"/>
    </x:xf>
    <x:xf numFmtId="0" fontId="0" fillId="0" borderId="0" xfId="0" applyAlignment="1">
      <x:alignment vertical="center"/>
    </x:xf>
    <x:xf numFmtId="0" fontId="4" fillId="0" borderId="0" xfId="0" applyFont="1" applyAlignment="1">
      <x:alignment wrapText="1"/>
    </x:xf>
    <x:xf numFmtId="0" fontId="5" fillId="0" borderId="0" xfId="0" applyFont="1" applyAlignment="1">
      <x:alignment wrapText="1"/>
    </x:xf>
    <x:xf numFmtId="0" fontId="6" fillId="0" borderId="0" xfId="0" applyFont="1"/>
    <x:xf numFmtId="0" fontId="5" fillId="0" borderId="0" xfId="0" applyFont="1"/>
    <x:xf numFmtId="0" fontId="7" fillId="0" borderId="0" xfId="0" applyFont="1"/>
    <x:xf numFmtId="0" fontId="8" fillId="0" borderId="0" xfId="1"/>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d5bcd7b7a1d48ff" /><Relationship Type="http://schemas.openxmlformats.org/officeDocument/2006/relationships/theme" Target="/xl/theme/theme1.xml" Id="R2538174ba28b4450" /><Relationship Type="http://schemas.openxmlformats.org/officeDocument/2006/relationships/sharedStrings" Target="/xl/sharedStrings.xml" Id="R9db35387b49a4ad1" /><Relationship Type="http://schemas.openxmlformats.org/officeDocument/2006/relationships/worksheet" Target="/xl/worksheets/sheet1.xml" Id="R437fc47b70c14832" /><Relationship Type="http://schemas.openxmlformats.org/officeDocument/2006/relationships/worksheet" Target="/xl/worksheets/sheet2.xml" Id="R370e587296ec40f1" /><Relationship Type="http://schemas.openxmlformats.org/officeDocument/2006/relationships/worksheet" Target="/xl/worksheets/sheet3.xml" Id="R952072e6a96149c1" /><Relationship Type="http://schemas.openxmlformats.org/officeDocument/2006/relationships/worksheet" Target="/xl/worksheets/sheet4.xml" Id="Re6c58350dec243fb" /><Relationship Type="http://schemas.openxmlformats.org/officeDocument/2006/relationships/worksheet" Target="/xl/worksheets/sheet5.xml" Id="R6a040f2dbfe54fce" /><Relationship Type="http://schemas.openxmlformats.org/officeDocument/2006/relationships/worksheet" Target="/xl/worksheets/sheet6.xml" Id="Rd547cf28e580432d" /><Relationship Type="http://schemas.openxmlformats.org/officeDocument/2006/relationships/worksheet" Target="/xl/worksheets/sheet7.xml" Id="R98dd1c67c5794456"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hyperlink" Target="https://gtexportal.org/" TargetMode="External" Id="R70a03737cf1e4d5e" /><Relationship Type="http://schemas.openxmlformats.org/officeDocument/2006/relationships/hyperlink" Target="http://www.mousephenotype.org/" TargetMode="External" Id="Re43274ef818c4dd8" /><Relationship Type="http://schemas.openxmlformats.org/officeDocument/2006/relationships/hyperlink" Target="http://www.informatics.jax.org/" TargetMode="External" Id="R7e612e3a20ba46ed" /></Relationships>
</file>

<file path=xl/worksheets/_rels/sheet7.xml.rels>&#65279;<?xml version="1.0" encoding="utf-8"?><Relationships xmlns="http://schemas.openxmlformats.org/package/2006/relationships"><Relationship Type="http://schemas.openxmlformats.org/officeDocument/2006/relationships/hyperlink" Target="https://github.com/francois-a/fastqtl" TargetMode="External" Id="R62b5f48ee0f6480d" /></Relationships>
</file>

<file path=xl/worksheets/sheet1.xml><?xml version="1.0" encoding="utf-8"?>
<x:worksheet xmlns:x="http://schemas.openxmlformats.org/spreadsheetml/2006/main">
  <x:sheetFormatPr baseColWidth="10" defaultColWidth="8.83203125" defaultRowHeight="15"/>
  <x:cols>
    <x:col min="1" max="2" width="19.6640625" customWidth="1"/>
    <x:col min="3" max="3" width="14.6640625" customWidth="1"/>
    <x:col min="4" max="4" width="17.6640625" customWidth="1"/>
    <x:col min="5" max="5" width="26.6640625" customWidth="1"/>
    <x:col min="6" max="6" width="18.6640625" customWidth="1"/>
    <x:col min="7" max="7" width="25.6640625" customWidth="1"/>
    <x:col min="8" max="8" width="22.6640625" customWidth="1"/>
    <x:col min="9" max="9" width="28.6640625" customWidth="1"/>
  </x:cols>
  <x:sheetData>
    <x:row r="1" ht="42" customHeight="1">
      <x:c r="A1" s="1" t="s">
        <x:v>0</x:v>
      </x:c>
      <x:c r="B1" s="1" t="s">
        <x:v>1</x:v>
      </x:c>
      <x:c r="C1" s="1" t="s">
        <x:v>2</x:v>
      </x:c>
      <x:c r="D1" s="1" t="s">
        <x:v>3</x:v>
      </x:c>
      <x:c r="E1" s="1" t="s">
        <x:v>4</x:v>
      </x:c>
      <x:c r="F1" s="1" t="s">
        <x:v>5</x:v>
      </x:c>
      <x:c r="G1" s="1" t="s">
        <x:v>6</x:v>
      </x:c>
      <x:c r="H1" s="1" t="s">
        <x:v>7</x:v>
      </x:c>
      <x:c r="I1" s="1" t="s">
        <x:v>8</x:v>
      </x:c>
    </x:row>
    <x:row r="2" ht="22" customHeight="1">
      <x:c r="A2" s="2" t="s">
        <x:v>9</x:v>
      </x:c>
      <x:c r="B2" s="3" t="s">
        <x:v>10</x:v>
      </x:c>
      <x:c r="C2" s="3" t="s">
        <x:v>11</x:v>
      </x:c>
      <x:c r="D2" s="3" t="s">
        <x:v>12</x:v>
      </x:c>
      <x:c r="E2" s="3" t="s">
        <x:v>13</x:v>
      </x:c>
      <x:c r="F2" s="3" t="s">
        <x:v>14</x:v>
      </x:c>
      <x:c r="G2" s="3" t="s">
        <x:v>15</x:v>
      </x:c>
      <x:c r="H2" s="3" t="s">
        <x:v>16</x:v>
      </x:c>
      <x:c r="I2" s="3" t="s">
        <x:v>17</x:v>
      </x:c>
    </x:row>
    <x:row r="3" ht="36" customHeight="1">
      <x:c r="A3" s="4" t="s">
        <x:v>18</x:v>
      </x:c>
      <x:c r="B3" s="4" t="s">
        <x:v>19</x:v>
      </x:c>
      <x:c r="C3" s="4" t="s">
        <x:v>20</x:v>
      </x:c>
      <x:c r="D3" s="4" t="s">
        <x:v>21</x:v>
      </x:c>
      <x:c r="E3" s="4" t="s">
        <x:v>22</x:v>
      </x:c>
      <x:c r="F3" s="4">
        <x:v>6136</x:v>
      </x:c>
      <x:c r="G3" s="4" t="b">
        <x:v>0</x:v>
      </x:c>
      <x:c r="H3" s="4" t="s">
        <x:v>23</x:v>
      </x:c>
      <x:c r="I3" s="4" t="s">
        <x:v>24</x:v>
      </x:c>
    </x:row>
    <x:row r="4" s="5" customFormat="1" ht="18" customHeight="1">
      <x:c r="A4" s="6" t="s">
        <x:v>25</x:v>
      </x:c>
      <x:c r="B4" s="6" t="s">
        <x:v>26</x:v>
      </x:c>
      <x:c r="C4" s="5" t="s">
        <x:v>27</x:v>
      </x:c>
      <x:c r="D4" s="6" t="s">
        <x:v>28</x:v>
      </x:c>
    </x:row>
    <x:row r="5" s="5" customFormat="1" ht="18" customHeight="1"/>
    <x:row r="6" s="5" customFormat="1" ht="18" customHeight="1"/>
    <x:row r="7" s="5" customFormat="1" ht="18" customHeight="1"/>
    <x:row r="8" s="5" customFormat="1" ht="18" customHeight="1"/>
    <x:row r="9" s="5" customFormat="1" ht="18" customHeight="1"/>
    <x:row r="10" s="5" customFormat="1" ht="18" customHeight="1"/>
    <x:row r="11" s="5" customFormat="1" ht="18" customHeight="1"/>
    <x:row r="12" s="5" customFormat="1" ht="18" customHeight="1"/>
    <x:row r="13" s="5" customFormat="1" ht="18" customHeight="1"/>
    <x:row r="14" s="5" customFormat="1" ht="18" customHeight="1"/>
    <x:row r="15" s="5" customFormat="1" ht="18" customHeight="1"/>
    <x:row r="16" s="5" customFormat="1" ht="18" customHeight="1"/>
    <x:row r="17" s="5" customFormat="1" ht="18" customHeight="1"/>
    <x:row r="18" s="5" customFormat="1" ht="18" customHeight="1"/>
    <x:row r="19" s="5" customFormat="1" ht="18" customHeight="1"/>
    <x:row r="20" s="5" customFormat="1" ht="18" customHeight="1"/>
    <x:row r="21" s="5" customFormat="1" ht="18" customHeight="1"/>
    <x:row r="22" s="5" customFormat="1" ht="18" customHeight="1"/>
    <x:row r="23" s="5" customFormat="1" ht="18" customHeight="1"/>
    <x:row r="24" s="5" customFormat="1" ht="18" customHeight="1"/>
    <x:row r="25" s="5" customFormat="1" ht="18" customHeight="1"/>
    <x:row r="26" s="5" customFormat="1" ht="18" customHeight="1"/>
    <x:row r="27" s="5" customFormat="1" ht="18" customHeight="1"/>
    <x:row r="28" s="5" customFormat="1" ht="18" customHeight="1"/>
    <x:row r="29" s="5" customFormat="1" ht="18" customHeight="1"/>
    <x:row r="30" s="5" customFormat="1" ht="18" customHeight="1"/>
    <x:row r="31" s="5" customFormat="1" ht="18" customHeight="1"/>
    <x:row r="32" s="5" customFormat="1" ht="18" customHeight="1"/>
    <x:row r="33" s="5" customFormat="1" ht="18" customHeight="1"/>
    <x:row r="34" s="5" customFormat="1" ht="18" customHeight="1"/>
    <x:row r="35" s="5" customFormat="1" ht="18" customHeight="1"/>
    <x:row r="36" s="5" customFormat="1" ht="18" customHeight="1"/>
    <x:row r="37" s="5" customFormat="1" ht="18" customHeight="1"/>
    <x:row r="38" s="5" customFormat="1" ht="18" customHeight="1"/>
    <x:row r="39" s="5" customFormat="1" ht="18" customHeight="1"/>
    <x:row r="40" s="5" customFormat="1" ht="18" customHeight="1"/>
    <x:row r="41" s="5" customFormat="1" ht="18" customHeight="1"/>
    <x:row r="42" s="5" customFormat="1" ht="18" customHeight="1"/>
    <x:row r="43" s="5" customFormat="1" ht="18" customHeight="1"/>
    <x:row r="44" s="5" customFormat="1" ht="18" customHeight="1"/>
    <x:row r="45" s="5" customFormat="1" ht="18" customHeight="1"/>
    <x:row r="46" s="5" customFormat="1" ht="18" customHeight="1"/>
    <x:row r="47" s="5" customFormat="1" ht="18" customHeight="1"/>
    <x:row r="48" s="5" customFormat="1" ht="18" customHeight="1"/>
    <x:row r="49" s="5" customFormat="1" ht="18" customHeight="1"/>
    <x:row r="50" s="5" customFormat="1" ht="18" customHeight="1"/>
    <x:row r="51" s="5" customFormat="1" ht="18" customHeight="1"/>
    <x:row r="52" s="5" customFormat="1" ht="18" customHeight="1"/>
    <x:row r="53" s="5" customFormat="1" ht="18" customHeight="1"/>
    <x:row r="54" s="5" customFormat="1" ht="18" customHeight="1"/>
    <x:row r="55" s="5" customFormat="1" ht="18" customHeight="1"/>
    <x:row r="56" s="5" customFormat="1" ht="18" customHeight="1"/>
    <x:row r="57" s="5" customFormat="1" ht="18" customHeight="1"/>
    <x:row r="58" s="5" customFormat="1" ht="18" customHeight="1"/>
    <x:row r="59" s="5" customFormat="1" ht="18" customHeight="1"/>
    <x:row r="60" s="5" customFormat="1" ht="18" customHeight="1"/>
    <x:row r="61" s="5" customFormat="1" ht="18" customHeight="1"/>
    <x:row r="62" s="5" customFormat="1" ht="18" customHeight="1"/>
    <x:row r="63" s="5" customFormat="1" ht="18" customHeight="1"/>
    <x:row r="64" s="5" customFormat="1" ht="18" customHeight="1"/>
    <x:row r="65" s="5" customFormat="1" ht="18" customHeight="1"/>
    <x:row r="66" s="5" customFormat="1" ht="18" customHeight="1"/>
    <x:row r="67" s="5" customFormat="1" ht="18" customHeight="1"/>
    <x:row r="68" s="5" customFormat="1" ht="18" customHeight="1"/>
    <x:row r="69" s="5" customFormat="1" ht="18" customHeight="1"/>
    <x:row r="70" s="5" customFormat="1" ht="18" customHeight="1"/>
    <x:row r="71" s="5" customFormat="1" ht="18" customHeight="1"/>
    <x:row r="72" s="5" customFormat="1" ht="18" customHeight="1"/>
    <x:row r="73" s="5" customFormat="1" ht="18" customHeight="1"/>
    <x:row r="74" s="5" customFormat="1" ht="18" customHeight="1"/>
    <x:row r="75" s="5" customFormat="1" ht="18" customHeight="1"/>
    <x:row r="76" s="5" customFormat="1" ht="18" customHeight="1"/>
    <x:row r="77" s="5" customFormat="1" ht="18" customHeight="1"/>
    <x:row r="78" s="5" customFormat="1" ht="18" customHeight="1"/>
    <x:row r="79" s="5" customFormat="1" ht="18" customHeight="1"/>
    <x:row r="80" s="5" customFormat="1" ht="18" customHeight="1"/>
    <x:row r="81" s="5" customFormat="1" ht="18" customHeight="1"/>
    <x:row r="82" s="5" customFormat="1" ht="18" customHeight="1"/>
    <x:row r="83" s="5" customFormat="1" ht="18" customHeight="1"/>
    <x:row r="84" s="5" customFormat="1" ht="18" customHeight="1"/>
    <x:row r="85" s="5" customFormat="1" ht="18" customHeight="1"/>
    <x:row r="86" s="5" customFormat="1" ht="18" customHeight="1"/>
    <x:row r="87" s="5" customFormat="1" ht="18" customHeight="1"/>
    <x:row r="88" s="5" customFormat="1" ht="18" customHeight="1"/>
    <x:row r="89" s="5" customFormat="1" ht="18" customHeight="1"/>
    <x:row r="90" s="5" customFormat="1" ht="18" customHeight="1"/>
    <x:row r="91" s="5" customFormat="1" ht="18" customHeight="1"/>
    <x:row r="92" s="5" customFormat="1" ht="18" customHeight="1"/>
    <x:row r="93" s="5" customFormat="1" ht="18" customHeight="1"/>
    <x:row r="94" s="5" customFormat="1" ht="18" customHeight="1"/>
    <x:row r="95" s="5" customFormat="1" ht="18" customHeight="1"/>
    <x:row r="96" s="5" customFormat="1" ht="18" customHeight="1"/>
    <x:row r="97" s="5" customFormat="1" ht="18" customHeight="1"/>
    <x:row r="98" s="5" customFormat="1" ht="18" customHeight="1"/>
    <x:row r="99" s="5" customFormat="1" ht="18" customHeight="1"/>
    <x:row r="100" s="5" customFormat="1" ht="18" customHeight="1"/>
    <x:row r="101" s="5" customFormat="1" ht="18" customHeight="1"/>
    <x:row r="102" s="5" customFormat="1" ht="18" customHeight="1"/>
    <x:row r="103" s="5" customFormat="1" ht="18" customHeight="1"/>
    <x:row r="104" s="5" customFormat="1" ht="18" customHeight="1"/>
    <x:row r="105" s="5" customFormat="1" ht="18" customHeight="1"/>
    <x:row r="106" s="5" customFormat="1" ht="18" customHeight="1"/>
    <x:row r="107" s="5" customFormat="1" ht="18" customHeight="1"/>
    <x:row r="108" s="5" customFormat="1" ht="18" customHeight="1"/>
    <x:row r="109" s="5" customFormat="1" ht="18" customHeight="1"/>
    <x:row r="110" s="5" customFormat="1" ht="18" customHeight="1"/>
    <x:row r="111" s="5" customFormat="1" ht="18" customHeight="1"/>
    <x:row r="112" s="5" customFormat="1" ht="18" customHeight="1"/>
    <x:row r="113" s="5" customFormat="1" ht="18" customHeight="1"/>
    <x:row r="114" s="5" customFormat="1" ht="18" customHeight="1"/>
    <x:row r="115" s="5" customFormat="1" ht="18" customHeight="1"/>
    <x:row r="116" s="5" customFormat="1" ht="18" customHeight="1"/>
    <x:row r="117" s="5" customFormat="1" ht="18" customHeight="1"/>
    <x:row r="118" s="5" customFormat="1" ht="18" customHeight="1"/>
    <x:row r="119" s="5" customFormat="1" ht="18" customHeight="1"/>
    <x:row r="120" s="5" customFormat="1" ht="18" customHeight="1"/>
    <x:row r="121" s="5" customFormat="1" ht="18" customHeight="1"/>
    <x:row r="122" s="5" customFormat="1" ht="18" customHeight="1"/>
    <x:row r="123" s="5" customFormat="1" ht="18" customHeight="1"/>
    <x:row r="124" s="5" customFormat="1" ht="18" customHeight="1"/>
    <x:row r="125" s="5" customFormat="1" ht="18" customHeight="1"/>
    <x:row r="126" s="5" customFormat="1" ht="18" customHeight="1"/>
    <x:row r="127" s="5" customFormat="1" ht="18" customHeight="1"/>
    <x:row r="128" s="5" customFormat="1" ht="18" customHeight="1"/>
    <x:row r="129" s="5" customFormat="1" ht="18" customHeight="1"/>
    <x:row r="130" s="5" customFormat="1" ht="18" customHeight="1"/>
    <x:row r="131" s="5" customFormat="1" ht="18" customHeight="1"/>
    <x:row r="132" s="5" customFormat="1" ht="18" customHeight="1"/>
    <x:row r="133" s="5" customFormat="1" ht="18" customHeight="1"/>
    <x:row r="134" s="5" customFormat="1" ht="18" customHeight="1"/>
    <x:row r="135" s="5" customFormat="1" ht="18" customHeight="1"/>
    <x:row r="136" s="5" customFormat="1" ht="18" customHeight="1"/>
    <x:row r="137" s="5" customFormat="1" ht="18" customHeight="1"/>
    <x:row r="138" s="5" customFormat="1" ht="18" customHeight="1"/>
    <x:row r="139" s="5" customFormat="1" ht="18" customHeight="1"/>
    <x:row r="140" s="5" customFormat="1" ht="18" customHeight="1"/>
    <x:row r="141" s="5" customFormat="1" ht="18" customHeight="1"/>
    <x:row r="142" s="5" customFormat="1" ht="18" customHeight="1"/>
    <x:row r="143" s="5" customFormat="1" ht="18" customHeight="1"/>
    <x:row r="144" s="5" customFormat="1" ht="18" customHeight="1"/>
    <x:row r="145" s="5" customFormat="1" ht="18" customHeight="1"/>
    <x:row r="146" s="5" customFormat="1" ht="18" customHeight="1"/>
    <x:row r="147" s="5" customFormat="1" ht="18" customHeight="1"/>
    <x:row r="148" s="5" customFormat="1" ht="18" customHeight="1"/>
    <x:row r="149" s="5" customFormat="1" ht="18" customHeight="1"/>
    <x:row r="150" s="5" customFormat="1" ht="18" customHeight="1"/>
    <x:row r="151" s="5" customFormat="1" ht="18" customHeight="1"/>
    <x:row r="152" s="5" customFormat="1" ht="18" customHeight="1"/>
    <x:row r="153" s="5" customFormat="1" ht="18" customHeight="1"/>
    <x:row r="154" s="5" customFormat="1" ht="18" customHeight="1"/>
    <x:row r="155" s="5" customFormat="1" ht="18" customHeight="1"/>
    <x:row r="156" s="5" customFormat="1" ht="18" customHeight="1"/>
    <x:row r="157" s="5" customFormat="1" ht="18" customHeight="1"/>
    <x:row r="158" s="5" customFormat="1" ht="18" customHeight="1"/>
    <x:row r="159" s="5" customFormat="1" ht="18" customHeight="1"/>
    <x:row r="160" s="5" customFormat="1" ht="18" customHeight="1"/>
    <x:row r="161" s="5" customFormat="1" ht="18" customHeight="1"/>
    <x:row r="162" s="5" customFormat="1" ht="18" customHeight="1"/>
    <x:row r="163" s="5" customFormat="1" ht="18" customHeight="1"/>
    <x:row r="164" s="5" customFormat="1" ht="18" customHeight="1"/>
    <x:row r="165" s="5" customFormat="1" ht="18" customHeight="1"/>
    <x:row r="166" s="5" customFormat="1" ht="18" customHeight="1"/>
    <x:row r="167" s="5" customFormat="1" ht="18" customHeight="1"/>
    <x:row r="168" s="5" customFormat="1" ht="18" customHeight="1"/>
    <x:row r="169" s="5" customFormat="1" ht="18" customHeight="1"/>
    <x:row r="170" s="5" customFormat="1" ht="18" customHeight="1"/>
    <x:row r="171" s="5" customFormat="1" ht="18" customHeight="1"/>
    <x:row r="172" s="5" customFormat="1" ht="18" customHeight="1"/>
    <x:row r="173" s="5" customFormat="1" ht="18" customHeight="1"/>
    <x:row r="174" s="5" customFormat="1" ht="18" customHeight="1"/>
    <x:row r="175" s="5" customFormat="1" ht="18" customHeight="1"/>
    <x:row r="176" s="5" customFormat="1" ht="18" customHeight="1"/>
    <x:row r="177" s="5" customFormat="1" ht="18" customHeight="1"/>
    <x:row r="178" s="5" customFormat="1" ht="18" customHeight="1"/>
    <x:row r="179" s="5" customFormat="1" ht="18" customHeight="1"/>
    <x:row r="180" s="5" customFormat="1" ht="18" customHeight="1"/>
    <x:row r="181" s="5" customFormat="1" ht="18" customHeight="1"/>
    <x:row r="182" s="5" customFormat="1" ht="18" customHeight="1"/>
    <x:row r="183" s="5" customFormat="1" ht="18" customHeight="1"/>
    <x:row r="184" s="5" customFormat="1" ht="18" customHeight="1"/>
    <x:row r="185" s="5" customFormat="1" ht="18" customHeight="1"/>
    <x:row r="186" s="5" customFormat="1" ht="18" customHeight="1"/>
    <x:row r="187" s="5" customFormat="1" ht="18" customHeight="1"/>
    <x:row r="188" s="5" customFormat="1" ht="18" customHeight="1"/>
    <x:row r="189" s="5" customFormat="1" ht="18" customHeight="1"/>
    <x:row r="190" s="5" customFormat="1" ht="18" customHeight="1"/>
    <x:row r="191" s="5" customFormat="1" ht="18" customHeight="1"/>
    <x:row r="192" s="5" customFormat="1" ht="18" customHeight="1"/>
    <x:row r="193" s="5" customFormat="1" ht="18" customHeight="1"/>
    <x:row r="194" s="5" customFormat="1" ht="18" customHeight="1"/>
    <x:row r="195" s="5" customFormat="1" ht="18" customHeight="1"/>
    <x:row r="196" s="5" customFormat="1" ht="18" customHeight="1"/>
    <x:row r="197" s="5" customFormat="1" ht="18" customHeight="1"/>
    <x:row r="198" s="5" customFormat="1" ht="18" customHeight="1"/>
    <x:row r="199" s="5" customFormat="1" ht="18" customHeight="1"/>
    <x:row r="200" s="5" customFormat="1" ht="18" customHeight="1"/>
  </x:sheetData>
  <x:dataValidations count="1">
    <x:dataValidation type="list" allowBlank="1" showInputMessage="1" showErrorMessage="1" sqref="G4:G200">
      <x:formula1>"TRUE,FALSE"</x:formula1>
    </x:dataValidation>
  </x:dataValidations>
  <x:pageMargins left="0.7" right="0.7" top="0.75" bottom="0.75" header="0.3" footer="0.3"/>
</x:worksheet>
</file>

<file path=xl/worksheets/sheet2.xml><?xml version="1.0" encoding="utf-8"?>
<x:worksheet xmlns:x="http://schemas.openxmlformats.org/spreadsheetml/2006/main">
  <x:sheetFormatPr baseColWidth="10" defaultColWidth="8.83203125" defaultRowHeight="15"/>
  <x:cols>
    <x:col min="1" max="2" width="14.6640625" customWidth="1"/>
    <x:col min="3" max="3" width="21.6640625" customWidth="1"/>
    <x:col min="4" max="4" width="24.6640625" customWidth="1"/>
    <x:col min="5" max="5" width="28.6640625" customWidth="1"/>
    <x:col min="6" max="6" width="17.6640625" customWidth="1"/>
    <x:col min="7" max="8" width="16.6640625" customWidth="1"/>
    <x:col min="9" max="9" width="17.6640625" customWidth="1"/>
  </x:cols>
  <x:sheetData>
    <x:row r="1" ht="42" customHeight="1">
      <x:c r="A1" s="1" t="s">
        <x:v>29</x:v>
      </x:c>
      <x:c r="B1" s="1" t="s">
        <x:v>30</x:v>
      </x:c>
      <x:c r="C1" s="1" t="s">
        <x:v>31</x:v>
      </x:c>
      <x:c r="D1" s="1" t="s">
        <x:v>32</x:v>
      </x:c>
      <x:c r="E1" s="1" t="s">
        <x:v>33</x:v>
      </x:c>
      <x:c r="F1" s="1" t="s">
        <x:v>34</x:v>
      </x:c>
      <x:c r="G1" s="1" t="s">
        <x:v>35</x:v>
      </x:c>
      <x:c r="H1" s="1" t="s">
        <x:v>36</x:v>
      </x:c>
      <x:c r="I1" s="1" t="s">
        <x:v>37</x:v>
      </x:c>
    </x:row>
    <x:row r="2" ht="22" customHeight="1">
      <x:c r="A2" s="3" t="s">
        <x:v>38</x:v>
      </x:c>
      <x:c r="B2" s="2" t="s">
        <x:v>39</x:v>
      </x:c>
      <x:c r="C2" s="3" t="s">
        <x:v>40</x:v>
      </x:c>
      <x:c r="D2" s="3" t="s">
        <x:v>41</x:v>
      </x:c>
      <x:c r="E2" s="3" t="s">
        <x:v>42</x:v>
      </x:c>
      <x:c r="F2" s="3" t="s">
        <x:v>43</x:v>
      </x:c>
      <x:c r="G2" s="3" t="s">
        <x:v>44</x:v>
      </x:c>
      <x:c r="H2" s="3" t="s">
        <x:v>45</x:v>
      </x:c>
      <x:c r="I2" s="3" t="s">
        <x:v>46</x:v>
      </x:c>
    </x:row>
    <x:row r="3" ht="36" customHeight="1">
      <x:c r="A3" s="4" t="s">
        <x:v>47</x:v>
      </x:c>
      <x:c r="B3" s="4" t="s">
        <x:v>48</x:v>
      </x:c>
      <x:c r="C3" s="4" t="s">
        <x:v>49</x:v>
      </x:c>
      <x:c r="D3" s="4" t="s">
        <x:v>50</x:v>
      </x:c>
      <x:c r="E3" s="4" t="s">
        <x:v>51</x:v>
      </x:c>
      <x:c r="F3" s="4" t="s">
        <x:v>52</x:v>
      </x:c>
      <x:c r="G3" s="4" t="s">
        <x:v>53</x:v>
      </x:c>
      <x:c r="H3" s="4" t="s">
        <x:v>54</x:v>
      </x:c>
      <x:c r="I3" s="4" t="s">
        <x:v>55</x:v>
      </x:c>
    </x:row>
    <x:row r="4" s="5" customFormat="1" ht="18" customHeight="1">
      <x:c r="A4" s="5" t="s">
        <x:v>56</x:v>
      </x:c>
      <x:c r="B4" s="5" t="s">
        <x:v>57</x:v>
      </x:c>
      <x:c r="C4" s="5" t="s">
        <x:v>58</x:v>
      </x:c>
      <x:c r="F4" s="7" t="s">
        <x:v>59</x:v>
      </x:c>
    </x:row>
    <x:row r="5" s="5" customFormat="1" ht="18" customHeight="1"/>
    <x:row r="6" s="5" customFormat="1" ht="18" customHeight="1"/>
    <x:row r="7" s="5" customFormat="1" ht="18" customHeight="1"/>
    <x:row r="8" s="5" customFormat="1" ht="18" customHeight="1"/>
    <x:row r="9" s="5" customFormat="1" ht="18" customHeight="1"/>
    <x:row r="10" s="5" customFormat="1" ht="18" customHeight="1"/>
    <x:row r="11" s="5" customFormat="1" ht="18" customHeight="1"/>
    <x:row r="12" s="5" customFormat="1" ht="18" customHeight="1"/>
    <x:row r="13" s="5" customFormat="1" ht="18" customHeight="1"/>
    <x:row r="14" s="5" customFormat="1" ht="18" customHeight="1"/>
    <x:row r="15" s="5" customFormat="1" ht="18" customHeight="1"/>
    <x:row r="16" s="5" customFormat="1" ht="18" customHeight="1"/>
    <x:row r="17" s="5" customFormat="1" ht="18" customHeight="1"/>
    <x:row r="18" s="5" customFormat="1" ht="18" customHeight="1"/>
    <x:row r="19" s="5" customFormat="1" ht="18" customHeight="1"/>
    <x:row r="20" s="5" customFormat="1" ht="18" customHeight="1"/>
    <x:row r="21" s="5" customFormat="1" ht="18" customHeight="1"/>
    <x:row r="22" s="5" customFormat="1" ht="18" customHeight="1"/>
    <x:row r="23" s="5" customFormat="1" ht="18" customHeight="1"/>
    <x:row r="24" s="5" customFormat="1" ht="18" customHeight="1"/>
    <x:row r="25" s="5" customFormat="1" ht="18" customHeight="1"/>
    <x:row r="26" s="5" customFormat="1" ht="18" customHeight="1"/>
    <x:row r="27" s="5" customFormat="1" ht="18" customHeight="1"/>
    <x:row r="28" s="5" customFormat="1" ht="18" customHeight="1"/>
    <x:row r="29" s="5" customFormat="1" ht="18" customHeight="1"/>
    <x:row r="30" s="5" customFormat="1" ht="18" customHeight="1"/>
    <x:row r="31" s="5" customFormat="1" ht="18" customHeight="1"/>
    <x:row r="32" s="5" customFormat="1" ht="18" customHeight="1"/>
    <x:row r="33" s="5" customFormat="1" ht="18" customHeight="1"/>
    <x:row r="34" s="5" customFormat="1" ht="18" customHeight="1"/>
    <x:row r="35" s="5" customFormat="1" ht="18" customHeight="1"/>
    <x:row r="36" s="5" customFormat="1" ht="18" customHeight="1"/>
    <x:row r="37" s="5" customFormat="1" ht="18" customHeight="1"/>
    <x:row r="38" s="5" customFormat="1" ht="18" customHeight="1"/>
    <x:row r="39" s="5" customFormat="1" ht="18" customHeight="1"/>
    <x:row r="40" s="5" customFormat="1" ht="18" customHeight="1"/>
    <x:row r="41" s="5" customFormat="1" ht="18" customHeight="1"/>
    <x:row r="42" s="5" customFormat="1" ht="18" customHeight="1"/>
    <x:row r="43" s="5" customFormat="1" ht="18" customHeight="1"/>
    <x:row r="44" s="5" customFormat="1" ht="18" customHeight="1"/>
    <x:row r="45" s="5" customFormat="1" ht="18" customHeight="1"/>
    <x:row r="46" s="5" customFormat="1" ht="18" customHeight="1"/>
    <x:row r="47" s="5" customFormat="1" ht="18" customHeight="1"/>
    <x:row r="48" s="5" customFormat="1" ht="18" customHeight="1"/>
    <x:row r="49" s="5" customFormat="1" ht="18" customHeight="1"/>
    <x:row r="50" s="5" customFormat="1" ht="18" customHeight="1"/>
    <x:row r="51" s="5" customFormat="1" ht="18" customHeight="1"/>
    <x:row r="52" s="5" customFormat="1" ht="18" customHeight="1"/>
    <x:row r="53" s="5" customFormat="1" ht="18" customHeight="1"/>
    <x:row r="54" s="5" customFormat="1" ht="18" customHeight="1"/>
    <x:row r="55" s="5" customFormat="1" ht="18" customHeight="1"/>
    <x:row r="56" s="5" customFormat="1" ht="18" customHeight="1"/>
    <x:row r="57" s="5" customFormat="1" ht="18" customHeight="1"/>
    <x:row r="58" s="5" customFormat="1" ht="18" customHeight="1"/>
    <x:row r="59" s="5" customFormat="1" ht="18" customHeight="1"/>
    <x:row r="60" s="5" customFormat="1" ht="18" customHeight="1"/>
    <x:row r="61" s="5" customFormat="1" ht="18" customHeight="1"/>
    <x:row r="62" s="5" customFormat="1" ht="18" customHeight="1"/>
    <x:row r="63" s="5" customFormat="1" ht="18" customHeight="1"/>
    <x:row r="64" s="5" customFormat="1" ht="18" customHeight="1"/>
    <x:row r="65" s="5" customFormat="1" ht="18" customHeight="1"/>
    <x:row r="66" s="5" customFormat="1" ht="18" customHeight="1"/>
    <x:row r="67" s="5" customFormat="1" ht="18" customHeight="1"/>
    <x:row r="68" s="5" customFormat="1" ht="18" customHeight="1"/>
    <x:row r="69" s="5" customFormat="1" ht="18" customHeight="1"/>
    <x:row r="70" s="5" customFormat="1" ht="18" customHeight="1"/>
    <x:row r="71" s="5" customFormat="1" ht="18" customHeight="1"/>
    <x:row r="72" s="5" customFormat="1" ht="18" customHeight="1"/>
    <x:row r="73" s="5" customFormat="1" ht="18" customHeight="1"/>
    <x:row r="74" s="5" customFormat="1" ht="18" customHeight="1"/>
    <x:row r="75" s="5" customFormat="1" ht="18" customHeight="1"/>
    <x:row r="76" s="5" customFormat="1" ht="18" customHeight="1"/>
    <x:row r="77" s="5" customFormat="1" ht="18" customHeight="1"/>
    <x:row r="78" s="5" customFormat="1" ht="18" customHeight="1"/>
    <x:row r="79" s="5" customFormat="1" ht="18" customHeight="1"/>
    <x:row r="80" s="5" customFormat="1" ht="18" customHeight="1"/>
    <x:row r="81" s="5" customFormat="1" ht="18" customHeight="1"/>
    <x:row r="82" s="5" customFormat="1" ht="18" customHeight="1"/>
    <x:row r="83" s="5" customFormat="1" ht="18" customHeight="1"/>
    <x:row r="84" s="5" customFormat="1" ht="18" customHeight="1"/>
    <x:row r="85" s="5" customFormat="1" ht="18" customHeight="1"/>
    <x:row r="86" s="5" customFormat="1" ht="18" customHeight="1"/>
    <x:row r="87" s="5" customFormat="1" ht="18" customHeight="1"/>
    <x:row r="88" s="5" customFormat="1" ht="18" customHeight="1"/>
    <x:row r="89" s="5" customFormat="1" ht="18" customHeight="1"/>
    <x:row r="90" s="5" customFormat="1" ht="18" customHeight="1"/>
    <x:row r="91" s="5" customFormat="1" ht="18" customHeight="1"/>
    <x:row r="92" s="5" customFormat="1" ht="18" customHeight="1"/>
    <x:row r="93" s="5" customFormat="1" ht="18" customHeight="1"/>
    <x:row r="94" s="5" customFormat="1" ht="18" customHeight="1"/>
    <x:row r="95" s="5" customFormat="1" ht="18" customHeight="1"/>
    <x:row r="96" s="5" customFormat="1" ht="18" customHeight="1"/>
    <x:row r="97" s="5" customFormat="1" ht="18" customHeight="1"/>
    <x:row r="98" s="5" customFormat="1" ht="18" customHeight="1"/>
    <x:row r="99" s="5" customFormat="1" ht="18" customHeight="1"/>
    <x:row r="100" s="5" customFormat="1" ht="18" customHeight="1"/>
    <x:row r="101" s="5" customFormat="1" ht="18" customHeight="1"/>
    <x:row r="102" s="5" customFormat="1" ht="18" customHeight="1"/>
    <x:row r="103" s="5" customFormat="1" ht="18" customHeight="1"/>
    <x:row r="104" s="5" customFormat="1" ht="18" customHeight="1"/>
    <x:row r="105" s="5" customFormat="1" ht="18" customHeight="1"/>
    <x:row r="106" s="5" customFormat="1" ht="18" customHeight="1"/>
    <x:row r="107" s="5" customFormat="1" ht="18" customHeight="1"/>
    <x:row r="108" s="5" customFormat="1" ht="18" customHeight="1"/>
    <x:row r="109" s="5" customFormat="1" ht="18" customHeight="1"/>
    <x:row r="110" s="5" customFormat="1" ht="18" customHeight="1"/>
    <x:row r="111" s="5" customFormat="1" ht="18" customHeight="1"/>
    <x:row r="112" s="5" customFormat="1" ht="18" customHeight="1"/>
    <x:row r="113" s="5" customFormat="1" ht="18" customHeight="1"/>
    <x:row r="114" s="5" customFormat="1" ht="18" customHeight="1"/>
    <x:row r="115" s="5" customFormat="1" ht="18" customHeight="1"/>
    <x:row r="116" s="5" customFormat="1" ht="18" customHeight="1"/>
    <x:row r="117" s="5" customFormat="1" ht="18" customHeight="1"/>
    <x:row r="118" s="5" customFormat="1" ht="18" customHeight="1"/>
    <x:row r="119" s="5" customFormat="1" ht="18" customHeight="1"/>
    <x:row r="120" s="5" customFormat="1" ht="18" customHeight="1"/>
    <x:row r="121" s="5" customFormat="1" ht="18" customHeight="1"/>
    <x:row r="122" s="5" customFormat="1" ht="18" customHeight="1"/>
    <x:row r="123" s="5" customFormat="1" ht="18" customHeight="1"/>
    <x:row r="124" s="5" customFormat="1" ht="18" customHeight="1"/>
    <x:row r="125" s="5" customFormat="1" ht="18" customHeight="1"/>
    <x:row r="126" s="5" customFormat="1" ht="18" customHeight="1"/>
    <x:row r="127" s="5" customFormat="1" ht="18" customHeight="1"/>
    <x:row r="128" s="5" customFormat="1" ht="18" customHeight="1"/>
    <x:row r="129" s="5" customFormat="1" ht="18" customHeight="1"/>
    <x:row r="130" s="5" customFormat="1" ht="18" customHeight="1"/>
    <x:row r="131" s="5" customFormat="1" ht="18" customHeight="1"/>
    <x:row r="132" s="5" customFormat="1" ht="18" customHeight="1"/>
    <x:row r="133" s="5" customFormat="1" ht="18" customHeight="1"/>
    <x:row r="134" s="5" customFormat="1" ht="18" customHeight="1"/>
    <x:row r="135" s="5" customFormat="1" ht="18" customHeight="1"/>
    <x:row r="136" s="5" customFormat="1" ht="18" customHeight="1"/>
    <x:row r="137" s="5" customFormat="1" ht="18" customHeight="1"/>
    <x:row r="138" s="5" customFormat="1" ht="18" customHeight="1"/>
    <x:row r="139" s="5" customFormat="1" ht="18" customHeight="1"/>
    <x:row r="140" s="5" customFormat="1" ht="18" customHeight="1"/>
    <x:row r="141" s="5" customFormat="1" ht="18" customHeight="1"/>
    <x:row r="142" s="5" customFormat="1" ht="18" customHeight="1"/>
    <x:row r="143" s="5" customFormat="1" ht="18" customHeight="1"/>
    <x:row r="144" s="5" customFormat="1" ht="18" customHeight="1"/>
    <x:row r="145" s="5" customFormat="1" ht="18" customHeight="1"/>
    <x:row r="146" s="5" customFormat="1" ht="18" customHeight="1"/>
    <x:row r="147" s="5" customFormat="1" ht="18" customHeight="1"/>
    <x:row r="148" s="5" customFormat="1" ht="18" customHeight="1"/>
    <x:row r="149" s="5" customFormat="1" ht="18" customHeight="1"/>
    <x:row r="150" s="5" customFormat="1" ht="18" customHeight="1"/>
    <x:row r="151" s="5" customFormat="1" ht="18" customHeight="1"/>
    <x:row r="152" s="5" customFormat="1" ht="18" customHeight="1"/>
    <x:row r="153" s="5" customFormat="1" ht="18" customHeight="1"/>
    <x:row r="154" s="5" customFormat="1" ht="18" customHeight="1"/>
    <x:row r="155" s="5" customFormat="1" ht="18" customHeight="1"/>
    <x:row r="156" s="5" customFormat="1" ht="18" customHeight="1"/>
    <x:row r="157" s="5" customFormat="1" ht="18" customHeight="1"/>
    <x:row r="158" s="5" customFormat="1" ht="18" customHeight="1"/>
    <x:row r="159" s="5" customFormat="1" ht="18" customHeight="1"/>
    <x:row r="160" s="5" customFormat="1" ht="18" customHeight="1"/>
    <x:row r="161" s="5" customFormat="1" ht="18" customHeight="1"/>
    <x:row r="162" s="5" customFormat="1" ht="18" customHeight="1"/>
    <x:row r="163" s="5" customFormat="1" ht="18" customHeight="1"/>
    <x:row r="164" s="5" customFormat="1" ht="18" customHeight="1"/>
    <x:row r="165" s="5" customFormat="1" ht="18" customHeight="1"/>
    <x:row r="166" s="5" customFormat="1" ht="18" customHeight="1"/>
    <x:row r="167" s="5" customFormat="1" ht="18" customHeight="1"/>
    <x:row r="168" s="5" customFormat="1" ht="18" customHeight="1"/>
    <x:row r="169" s="5" customFormat="1" ht="18" customHeight="1"/>
    <x:row r="170" s="5" customFormat="1" ht="18" customHeight="1"/>
    <x:row r="171" s="5" customFormat="1" ht="18" customHeight="1"/>
    <x:row r="172" s="5" customFormat="1" ht="18" customHeight="1"/>
    <x:row r="173" s="5" customFormat="1" ht="18" customHeight="1"/>
    <x:row r="174" s="5" customFormat="1" ht="18" customHeight="1"/>
    <x:row r="175" s="5" customFormat="1" ht="18" customHeight="1"/>
    <x:row r="176" s="5" customFormat="1" ht="18" customHeight="1"/>
    <x:row r="177" s="5" customFormat="1" ht="18" customHeight="1"/>
    <x:row r="178" s="5" customFormat="1" ht="18" customHeight="1"/>
    <x:row r="179" s="5" customFormat="1" ht="18" customHeight="1"/>
    <x:row r="180" s="5" customFormat="1" ht="18" customHeight="1"/>
    <x:row r="181" s="5" customFormat="1" ht="18" customHeight="1"/>
    <x:row r="182" s="5" customFormat="1" ht="18" customHeight="1"/>
    <x:row r="183" s="5" customFormat="1" ht="18" customHeight="1"/>
    <x:row r="184" s="5" customFormat="1" ht="18" customHeight="1"/>
    <x:row r="185" s="5" customFormat="1" ht="18" customHeight="1"/>
    <x:row r="186" s="5" customFormat="1" ht="18" customHeight="1"/>
    <x:row r="187" s="5" customFormat="1" ht="18" customHeight="1"/>
    <x:row r="188" s="5" customFormat="1" ht="18" customHeight="1"/>
    <x:row r="189" s="5" customFormat="1" ht="18" customHeight="1"/>
    <x:row r="190" s="5" customFormat="1" ht="18" customHeight="1"/>
    <x:row r="191" s="5" customFormat="1" ht="18" customHeight="1"/>
    <x:row r="192" s="5" customFormat="1" ht="18" customHeight="1"/>
    <x:row r="193" s="5" customFormat="1" ht="18" customHeight="1"/>
    <x:row r="194" s="5" customFormat="1" ht="18" customHeight="1"/>
    <x:row r="195" s="5" customFormat="1" ht="18" customHeight="1"/>
    <x:row r="196" s="5" customFormat="1" ht="18" customHeight="1"/>
    <x:row r="197" s="5" customFormat="1" ht="18" customHeight="1"/>
    <x:row r="198" s="5" customFormat="1" ht="18" customHeight="1"/>
    <x:row r="199" s="5" customFormat="1" ht="18" customHeight="1"/>
    <x:row r="200" s="5" customFormat="1" ht="18" customHeight="1"/>
  </x:sheetData>
  <x:dataValidations count="1">
    <x:dataValidation type="list" allowBlank="1" showInputMessage="1" showErrorMessage="1" sqref="B4:B200">
      <x:formula1>"GRCh37,GRCh38"</x:formula1>
    </x:dataValidation>
  </x:dataValidations>
  <x:pageMargins left="0.7" right="0.7" top="0.75" bottom="0.75" header="0.3" footer="0.3"/>
</x:worksheet>
</file>

<file path=xl/worksheets/sheet3.xml><?xml version="1.0" encoding="utf-8"?>
<x:worksheet xmlns:x="http://schemas.openxmlformats.org/spreadsheetml/2006/main">
  <x:sheetFormatPr baseColWidth="10" defaultColWidth="8.83203125" defaultRowHeight="15"/>
  <x:cols>
    <x:col min="1" max="1" width="18.6640625" customWidth="1"/>
    <x:col min="2" max="2" width="20.6640625" customWidth="1"/>
    <x:col min="3" max="3" width="21.6640625" customWidth="1"/>
    <x:col min="4" max="4" width="19.6640625" customWidth="1"/>
    <x:col min="5" max="5" width="32.6640625" customWidth="1"/>
    <x:col min="6" max="6" width="25.6640625" customWidth="1"/>
    <x:col min="7" max="7" width="21.6640625" customWidth="1"/>
    <x:col min="8" max="8" width="16.6640625" customWidth="1"/>
    <x:col min="9" max="9" width="14.6640625" customWidth="1"/>
    <x:col min="10" max="10" width="17.6640625" customWidth="1"/>
  </x:cols>
  <x:sheetData>
    <x:row r="1" ht="42" customHeight="1">
      <x:c r="A1" s="1" t="s">
        <x:v>60</x:v>
      </x:c>
      <x:c r="B1" s="1" t="s">
        <x:v>61</x:v>
      </x:c>
      <x:c r="C1" s="1" t="s">
        <x:v>62</x:v>
      </x:c>
      <x:c r="D1" s="1" t="s">
        <x:v>63</x:v>
      </x:c>
      <x:c r="E1" s="1" t="s">
        <x:v>64</x:v>
      </x:c>
      <x:c r="F1" s="1" t="s">
        <x:v>65</x:v>
      </x:c>
      <x:c r="G1" s="1" t="s">
        <x:v>66</x:v>
      </x:c>
      <x:c r="H1" s="1" t="s">
        <x:v>67</x:v>
      </x:c>
      <x:c r="I1" s="1" t="s">
        <x:v>68</x:v>
      </x:c>
      <x:c r="J1" s="1" t="s">
        <x:v>69</x:v>
      </x:c>
    </x:row>
    <x:row r="2" ht="22" customHeight="1">
      <x:c r="A2" s="2" t="s">
        <x:v>70</x:v>
      </x:c>
      <x:c r="B2" s="2" t="s">
        <x:v>71</x:v>
      </x:c>
      <x:c r="C2" s="2" t="s">
        <x:v>72</x:v>
      </x:c>
      <x:c r="D2" s="2" t="s">
        <x:v>73</x:v>
      </x:c>
      <x:c r="E2" s="2" t="s">
        <x:v>74</x:v>
      </x:c>
      <x:c r="F2" s="2" t="s">
        <x:v>75</x:v>
      </x:c>
      <x:c r="G2" s="2" t="s">
        <x:v>76</x:v>
      </x:c>
      <x:c r="H2" s="2" t="s">
        <x:v>77</x:v>
      </x:c>
      <x:c r="I2" s="3" t="s">
        <x:v>78</x:v>
      </x:c>
      <x:c r="J2" s="3" t="s">
        <x:v>79</x:v>
      </x:c>
    </x:row>
    <x:row r="3" ht="36" customHeight="1">
      <x:c r="A3" s="4" t="s">
        <x:v>80</x:v>
      </x:c>
      <x:c r="B3" s="4" t="s">
        <x:v>81</x:v>
      </x:c>
      <x:c r="C3" s="4" t="s">
        <x:v>82</x:v>
      </x:c>
      <x:c r="D3" s="4" t="s">
        <x:v>83</x:v>
      </x:c>
      <x:c r="E3" s="4" t="s">
        <x:v>84</x:v>
      </x:c>
      <x:c r="F3" s="4" t="s">
        <x:v>85</x:v>
      </x:c>
      <x:c r="G3" s="4" t="s">
        <x:v>86</x:v>
      </x:c>
      <x:c r="H3" s="4" t="s">
        <x:v>87</x:v>
      </x:c>
      <x:c r="I3" s="4" t="s">
        <x:v>88</x:v>
      </x:c>
      <x:c r="J3" s="4"/>
    </x:row>
    <x:row r="4" s="5" customFormat="1" ht="18" customHeight="1">
      <x:c r="A4" s="5" t="s">
        <x:v>89</x:v>
      </x:c>
      <x:c r="B4" s="8" t="s">
        <x:v>90</x:v>
      </x:c>
      <x:c r="C4" s="8"/>
      <x:c r="D4" s="8" t="s">
        <x:v>91</x:v>
      </x:c>
      <x:c r="E4" s="5" t="str">
        <x:f>IF($D4="","",IFERROR(INDEX(validation!$A$2:$A$24,MATCH($D4,validation!$B$2:$B$24,0)),""))</x:f>
        <x:v>GWAS</x:v>
      </x:c>
      <x:c r="F4" s="8" t="s">
        <x:v>85</x:v>
      </x:c>
      <x:c r="G4" s="8"/>
      <x:c r="H4" s="8"/>
      <x:c r="I4" s="9"/>
      <x:c r="J4" s="9"/>
    </x:row>
    <x:row r="5" s="5" customFormat="1" ht="18" customHeight="1">
      <x:c r="A5" s="5" t="s">
        <x:v>92</x:v>
      </x:c>
      <x:c r="B5" s="8" t="s">
        <x:v>93</x:v>
      </x:c>
      <x:c r="C5" s="8"/>
      <x:c r="D5" s="8" t="s">
        <x:v>91</x:v>
      </x:c>
      <x:c r="E5" s="5" t="str">
        <x:f>IF($D5="","",IFERROR(INDEX(validation!$A$2:$A$24,MATCH($D5,validation!$B$2:$B$24,0)),""))</x:f>
        <x:v>GWAS</x:v>
      </x:c>
      <x:c r="F5" s="8" t="s">
        <x:v>85</x:v>
      </x:c>
      <x:c r="G5" s="8"/>
      <x:c r="H5" s="8"/>
      <x:c r="I5" s="9"/>
      <x:c r="J5" s="9"/>
    </x:row>
    <x:row r="6" s="5" customFormat="1" ht="18" customHeight="1">
      <x:c r="A6" s="5" t="s">
        <x:v>94</x:v>
      </x:c>
      <x:c r="B6" s="8" t="s">
        <x:v>95</x:v>
      </x:c>
      <x:c r="C6" s="8"/>
      <x:c r="D6" s="8" t="s">
        <x:v>96</x:v>
      </x:c>
      <x:c r="E6" s="5" t="str">
        <x:f>IF($D6="","",IFERROR(INDEX(validation!$A$2:$A$24,MATCH($D6,validation!$B$2:$B$24,0)),""))</x:f>
        <x:v>FM</x:v>
      </x:c>
      <x:c r="F6" s="8" t="s">
        <x:v>85</x:v>
      </x:c>
      <x:c r="G6" s="8"/>
      <x:c r="H6" s="8"/>
      <x:c r="I6" s="9"/>
      <x:c r="J6" s="9"/>
    </x:row>
    <x:row r="7" s="5" customFormat="1" ht="18" customHeight="1">
      <x:c r="A7" s="5" t="s">
        <x:v>97</x:v>
      </x:c>
      <x:c r="B7" s="8" t="s">
        <x:v>98</x:v>
      </x:c>
      <x:c r="C7" s="8"/>
      <x:c r="D7" s="8" t="s">
        <x:v>96</x:v>
      </x:c>
      <x:c r="E7" s="5" t="str">
        <x:f>IF($D7="","",IFERROR(INDEX(validation!$A$2:$A$24,MATCH($D7,validation!$B$2:$B$24,0)),""))</x:f>
        <x:v>FM</x:v>
      </x:c>
      <x:c r="F7" s="8" t="s">
        <x:v>85</x:v>
      </x:c>
      <x:c r="G7" s="8"/>
      <x:c r="H7" s="8" t="s">
        <x:v>99</x:v>
      </x:c>
      <x:c r="I7" s="9"/>
      <x:c r="J7" s="9"/>
    </x:row>
    <x:row r="8" s="5" customFormat="1" ht="18" customHeight="1">
      <x:c r="A8" s="5" t="s">
        <x:v>100</x:v>
      </x:c>
      <x:c r="B8" s="8" t="s">
        <x:v>101</x:v>
      </x:c>
      <x:c r="C8" s="8"/>
      <x:c r="D8" s="8" t="s">
        <x:v>102</x:v>
      </x:c>
      <x:c r="E8" s="5" t="str">
        <x:f>IF($D8="","",IFERROR(INDEX(validation!$A$2:$A$24,MATCH($D8,validation!$B$2:$B$24,0)),""))</x:f>
        <x:v>PROX</x:v>
      </x:c>
      <x:c r="F8" s="8" t="s">
        <x:v>85</x:v>
      </x:c>
      <x:c r="G8" s="8"/>
      <x:c r="H8" s="8"/>
      <x:c r="I8" s="9"/>
      <x:c r="J8" s="8" t="s">
        <x:v>103</x:v>
      </x:c>
    </x:row>
    <x:row r="9" s="5" customFormat="1" ht="18" customHeight="1">
      <x:c r="A9" s="5" t="s">
        <x:v>104</x:v>
      </x:c>
      <x:c r="B9" s="8" t="s">
        <x:v>105</x:v>
      </x:c>
      <x:c r="C9" s="8"/>
      <x:c r="D9" s="8" t="s">
        <x:v>106</x:v>
      </x:c>
      <x:c r="E9" s="5" t="str">
        <x:f>IF($D9="","",IFERROR(INDEX(validation!$A$2:$A$24,MATCH($D9,validation!$B$2:$B$24,0)),""))</x:f>
        <x:v>FUNC</x:v>
      </x:c>
      <x:c r="F9" s="8" t="s">
        <x:v>85</x:v>
      </x:c>
      <x:c r="G9" s="8"/>
      <x:c r="H9" s="8" t="s">
        <x:v>107</x:v>
      </x:c>
      <x:c r="I9" s="8" t="s">
        <x:v>108</x:v>
      </x:c>
      <x:c r="J9" s="9"/>
    </x:row>
    <x:row r="10" s="5" customFormat="1" ht="18" customHeight="1">
      <x:c r="A10" s="5" t="s">
        <x:v>109</x:v>
      </x:c>
      <x:c r="B10" s="8" t="s">
        <x:v>110</x:v>
      </x:c>
      <x:c r="C10" s="8" t="s">
        <x:v>82</x:v>
      </x:c>
      <x:c r="D10" s="8" t="s">
        <x:v>83</x:v>
      </x:c>
      <x:c r="E10" s="5" t="str">
        <x:f>IF($D10="","",IFERROR(INDEX(validation!$A$2:$A$24,MATCH($D10,validation!$B$2:$B$24,0)),""))</x:f>
        <x:v>QTL</x:v>
      </x:c>
      <x:c r="F10" s="8" t="s">
        <x:v>85</x:v>
      </x:c>
      <x:c r="G10" s="8" t="s">
        <x:v>111</x:v>
      </x:c>
      <x:c r="H10" s="8" t="s">
        <x:v>112</x:v>
      </x:c>
      <x:c r="I10" s="8" t="s">
        <x:v>113</x:v>
      </x:c>
      <x:c r="J10" s="8" t="s">
        <x:v>114</x:v>
      </x:c>
    </x:row>
    <x:row r="11" s="5" customFormat="1" ht="18" customHeight="1">
      <x:c r="A11" s="5" t="s">
        <x:v>115</x:v>
      </x:c>
      <x:c r="B11" s="8" t="s">
        <x:v>116</x:v>
      </x:c>
      <x:c r="C11" s="8" t="s">
        <x:v>82</x:v>
      </x:c>
      <x:c r="D11" s="8" t="s">
        <x:v>83</x:v>
      </x:c>
      <x:c r="E11" s="5" t="str">
        <x:f>IF($D11="","",IFERROR(INDEX(validation!$A$2:$A$24,MATCH($D11,validation!$B$2:$B$24,0)),""))</x:f>
        <x:v>QTL</x:v>
      </x:c>
      <x:c r="F11" s="8" t="s">
        <x:v>85</x:v>
      </x:c>
      <x:c r="G11" s="8" t="s">
        <x:v>111</x:v>
      </x:c>
      <x:c r="H11" s="8" t="s">
        <x:v>112</x:v>
      </x:c>
      <x:c r="I11" s="8" t="s">
        <x:v>113</x:v>
      </x:c>
      <x:c r="J11" s="8" t="s">
        <x:v>114</x:v>
      </x:c>
    </x:row>
    <x:row r="12" s="5" customFormat="1" ht="18" customHeight="1">
      <x:c r="A12" s="5" t="s">
        <x:v>117</x:v>
      </x:c>
      <x:c r="B12" s="8" t="s">
        <x:v>118</x:v>
      </x:c>
      <x:c r="C12" s="8" t="s">
        <x:v>82</x:v>
      </x:c>
      <x:c r="D12" s="8" t="s">
        <x:v>83</x:v>
      </x:c>
      <x:c r="E12" s="5" t="str">
        <x:f>IF($D12="","",IFERROR(INDEX(validation!$A$2:$A$24,MATCH($D12,validation!$B$2:$B$24,0)),""))</x:f>
        <x:v>QTL</x:v>
      </x:c>
      <x:c r="F12" s="8" t="s">
        <x:v>85</x:v>
      </x:c>
      <x:c r="G12" s="8" t="s">
        <x:v>111</x:v>
      </x:c>
      <x:c r="H12" s="8" t="s">
        <x:v>112</x:v>
      </x:c>
      <x:c r="I12" s="8" t="s">
        <x:v>113</x:v>
      </x:c>
      <x:c r="J12" s="8" t="s">
        <x:v>114</x:v>
      </x:c>
    </x:row>
    <x:row r="13" s="5" customFormat="1" ht="18" customHeight="1">
      <x:c r="A13" s="5" t="s">
        <x:v>119</x:v>
      </x:c>
      <x:c r="B13" s="8" t="s">
        <x:v>120</x:v>
      </x:c>
      <x:c r="C13" s="8"/>
      <x:c r="D13" s="8" t="s">
        <x:v>121</x:v>
      </x:c>
      <x:c r="E13" s="5" t="str">
        <x:f>IF($D13="","",IFERROR(INDEX(validation!$A$2:$A$24,MATCH($D13,validation!$B$2:$B$24,0)),""))</x:f>
        <x:v>PHEWAS</x:v>
      </x:c>
      <x:c r="F13" s="8" t="s">
        <x:v>85</x:v>
      </x:c>
      <x:c r="G13" s="8" t="s">
        <x:v>122</x:v>
      </x:c>
      <x:c r="H13" s="8" t="s">
        <x:v>123</x:v>
      </x:c>
      <x:c r="I13" s="9"/>
      <x:c r="J13" s="9"/>
    </x:row>
    <x:row r="14" s="5" customFormat="1" ht="18" customHeight="1">
      <x:c r="A14" s="5" t="s">
        <x:v>124</x:v>
      </x:c>
      <x:c r="B14" s="8" t="s">
        <x:v>125</x:v>
      </x:c>
      <x:c r="C14" s="8"/>
      <x:c r="D14" s="8" t="s">
        <x:v>126</x:v>
      </x:c>
      <x:c r="E14" s="5" t="str">
        <x:f>IF($D14="","",IFERROR(INDEX(validation!$A$2:$A$24,MATCH($D14,validation!$B$2:$B$24,0)),""))</x:f>
        <x:v>GENEBASE</x:v>
      </x:c>
      <x:c r="F14" s="8" t="s">
        <x:v>127</x:v>
      </x:c>
      <x:c r="G14" s="8"/>
      <x:c r="H14" s="8" t="s">
        <x:v>128</x:v>
      </x:c>
      <x:c r="I14" s="9"/>
      <x:c r="J14" s="8" t="s">
        <x:v>129</x:v>
      </x:c>
    </x:row>
    <x:row r="15" s="5" customFormat="1" ht="18" customHeight="1">
      <x:c r="A15" s="5" t="s">
        <x:v>130</x:v>
      </x:c>
      <x:c r="B15" s="8" t="s">
        <x:v>131</x:v>
      </x:c>
      <x:c r="C15" s="8"/>
      <x:c r="D15" s="8" t="s">
        <x:v>132</x:v>
      </x:c>
      <x:c r="E15" s="5" t="str">
        <x:f>IF($D15="","",IFERROR(INDEX(validation!$A$2:$A$24,MATCH($D15,validation!$B$2:$B$24,0)),""))</x:f>
        <x:v>PERTURB</x:v>
      </x:c>
      <x:c r="F15" s="8" t="s">
        <x:v>127</x:v>
      </x:c>
      <x:c r="G15" s="8" t="s">
        <x:v>133</x:v>
      </x:c>
      <x:c r="H15" s="9"/>
      <x:c r="I15" s="9"/>
      <x:c r="J15" s="8" t="s">
        <x:v>134</x:v>
      </x:c>
    </x:row>
    <x:row r="16" s="5" customFormat="1" ht="18" customHeight="1">
      <x:c r="A16" s="5" t="s">
        <x:v>135</x:v>
      </x:c>
      <x:c r="B16" s="8" t="s">
        <x:v>136</x:v>
      </x:c>
      <x:c r="C16" s="8"/>
      <x:c r="D16" s="8" t="s">
        <x:v>132</x:v>
      </x:c>
      <x:c r="E16" s="5" t="str">
        <x:f>IF($D16="","",IFERROR(INDEX(validation!$A$2:$A$24,MATCH($D16,validation!$B$2:$B$24,0)),""))</x:f>
        <x:v>PERTURB</x:v>
      </x:c>
      <x:c r="F16" s="8" t="s">
        <x:v>127</x:v>
      </x:c>
      <x:c r="G16" s="8" t="s">
        <x:v>133</x:v>
      </x:c>
      <x:c r="H16" s="9"/>
      <x:c r="I16" s="9"/>
      <x:c r="J16" s="8" t="s">
        <x:v>134</x:v>
      </x:c>
    </x:row>
    <x:row r="17" s="5" customFormat="1" ht="18" customHeight="1">
      <x:c r="A17" s="5" t="s">
        <x:v>137</x:v>
      </x:c>
      <x:c r="B17" s="8" t="s">
        <x:v>138</x:v>
      </x:c>
      <x:c r="C17" s="8"/>
      <x:c r="D17" s="8" t="s">
        <x:v>139</x:v>
      </x:c>
      <x:c r="E17" s="5" t="str">
        <x:f>IF($D17="","",IFERROR(INDEX(validation!$A$2:$A$24,MATCH($D17,validation!$B$2:$B$24,0)),""))</x:f>
        <x:v>DB</x:v>
      </x:c>
      <x:c r="F17" s="8" t="s">
        <x:v>127</x:v>
      </x:c>
      <x:c r="G17" s="8" t="s">
        <x:v>140</x:v>
      </x:c>
      <x:c r="H17" s="8"/>
      <x:c r="I17" s="9"/>
      <x:c r="J17" s="8" t="s">
        <x:v>141</x:v>
      </x:c>
    </x:row>
    <x:row r="18" s="5" customFormat="1" ht="18" customHeight="1">
      <x:c r="D18" s="5" t="str">
        <x:f ca="1">IF($E18="","",IFERROR(VLOOKUP($E18,validation!$A$2:$B$24,2,FALSE),""))</x:f>
      </x:c>
      <x:c r="E18" s="5" t="str">
        <x:f ca="1">IF($D18="","",IFERROR(INDEX(validation!$A$2:$A$24,MATCH($D18,validation!$B$2:$B$24,0)),""))</x:f>
      </x:c>
    </x:row>
    <x:row r="19" s="5" customFormat="1" ht="18" customHeight="1">
      <x:c r="D19" s="5" t="str">
        <x:f ca="1">IF($E19="","",IFERROR(VLOOKUP($E19,validation!$A$2:$B$24,2,FALSE),""))</x:f>
      </x:c>
      <x:c r="E19" s="5" t="str">
        <x:f ca="1">IF($D19="","",IFERROR(INDEX(validation!$A$2:$A$24,MATCH($D19,validation!$B$2:$B$24,0)),""))</x:f>
      </x:c>
    </x:row>
    <x:row r="20" s="5" customFormat="1" ht="18" customHeight="1">
      <x:c r="D20" s="5" t="str">
        <x:f ca="1">IF($E20="","",IFERROR(VLOOKUP($E20,validation!$A$2:$B$24,2,FALSE),""))</x:f>
      </x:c>
      <x:c r="E20" s="5" t="str">
        <x:f ca="1">IF($D20="","",IFERROR(INDEX(validation!$A$2:$A$24,MATCH($D20,validation!$B$2:$B$24,0)),""))</x:f>
      </x:c>
    </x:row>
    <x:row r="21" s="5" customFormat="1" ht="18" customHeight="1">
      <x:c r="D21" s="5" t="str">
        <x:f ca="1">IF($E21="","",IFERROR(VLOOKUP($E21,validation!$A$2:$B$24,2,FALSE),""))</x:f>
      </x:c>
      <x:c r="E21" s="5" t="str">
        <x:f ca="1">IF($D21="","",IFERROR(INDEX(validation!$A$2:$A$24,MATCH($D21,validation!$B$2:$B$24,0)),""))</x:f>
      </x:c>
    </x:row>
    <x:row r="22" s="5" customFormat="1" ht="18" customHeight="1">
      <x:c r="D22" s="5" t="str">
        <x:f ca="1">IF($E22="","",IFERROR(VLOOKUP($E22,validation!$A$2:$B$24,2,FALSE),""))</x:f>
      </x:c>
      <x:c r="E22" s="5" t="str">
        <x:f ca="1">IF($D22="","",IFERROR(INDEX(validation!$A$2:$A$24,MATCH($D22,validation!$B$2:$B$24,0)),""))</x:f>
      </x:c>
    </x:row>
    <x:row r="23" s="5" customFormat="1" ht="18" customHeight="1">
      <x:c r="D23" s="5" t="str">
        <x:f ca="1">IF($E23="","",IFERROR(VLOOKUP($E23,validation!$A$2:$B$24,2,FALSE),""))</x:f>
      </x:c>
      <x:c r="E23" s="5" t="str">
        <x:f ca="1">IF($D23="","",IFERROR(INDEX(validation!$A$2:$A$24,MATCH($D23,validation!$B$2:$B$24,0)),""))</x:f>
      </x:c>
    </x:row>
    <x:row r="24" s="5" customFormat="1" ht="18" customHeight="1">
      <x:c r="D24" s="5" t="str">
        <x:f ca="1">IF($E24="","",IFERROR(VLOOKUP($E24,validation!$A$2:$B$24,2,FALSE),""))</x:f>
      </x:c>
      <x:c r="E24" s="5" t="str">
        <x:f ca="1">IF($D24="","",IFERROR(INDEX(validation!$A$2:$A$24,MATCH($D24,validation!$B$2:$B$24,0)),""))</x:f>
      </x:c>
    </x:row>
    <x:row r="25" s="5" customFormat="1" ht="18" customHeight="1">
      <x:c r="D25" s="5" t="str">
        <x:f ca="1">IF($E25="","",IFERROR(VLOOKUP($E25,validation!$A$2:$B$24,2,FALSE),""))</x:f>
      </x:c>
      <x:c r="E25" s="5" t="str">
        <x:f ca="1">IF($D25="","",IFERROR(INDEX(validation!$A$2:$A$24,MATCH($D25,validation!$B$2:$B$24,0)),""))</x:f>
      </x:c>
    </x:row>
    <x:row r="26" s="5" customFormat="1" ht="18" customHeight="1">
      <x:c r="D26" s="5" t="str">
        <x:f ca="1">IF($E26="","",IFERROR(VLOOKUP($E26,validation!$A$2:$B$24,2,FALSE),""))</x:f>
      </x:c>
      <x:c r="E26" s="5" t="str">
        <x:f ca="1">IF($D26="","",IFERROR(INDEX(validation!$A$2:$A$24,MATCH($D26,validation!$B$2:$B$24,0)),""))</x:f>
      </x:c>
    </x:row>
    <x:row r="27" s="5" customFormat="1" ht="18" customHeight="1">
      <x:c r="D27" s="5" t="str">
        <x:f ca="1">IF($E27="","",IFERROR(VLOOKUP($E27,validation!$A$2:$B$24,2,FALSE),""))</x:f>
      </x:c>
      <x:c r="E27" s="5" t="str">
        <x:f ca="1">IF($D27="","",IFERROR(INDEX(validation!$A$2:$A$24,MATCH($D27,validation!$B$2:$B$24,0)),""))</x:f>
      </x:c>
    </x:row>
    <x:row r="28" s="5" customFormat="1" ht="18" customHeight="1">
      <x:c r="D28" s="5" t="str">
        <x:f ca="1">IF($E28="","",IFERROR(VLOOKUP($E28,validation!$A$2:$B$24,2,FALSE),""))</x:f>
      </x:c>
      <x:c r="E28" s="5" t="str">
        <x:f ca="1">IF($D28="","",IFERROR(INDEX(validation!$A$2:$A$24,MATCH($D28,validation!$B$2:$B$24,0)),""))</x:f>
      </x:c>
    </x:row>
    <x:row r="29" s="5" customFormat="1" ht="18" customHeight="1">
      <x:c r="D29" s="5" t="str">
        <x:f ca="1">IF($E29="","",IFERROR(VLOOKUP($E29,validation!$A$2:$B$24,2,FALSE),""))</x:f>
      </x:c>
      <x:c r="E29" s="5" t="str">
        <x:f ca="1">IF($D29="","",IFERROR(INDEX(validation!$A$2:$A$24,MATCH($D29,validation!$B$2:$B$24,0)),""))</x:f>
      </x:c>
    </x:row>
    <x:row r="30" s="5" customFormat="1" ht="18" customHeight="1">
      <x:c r="D30" s="5" t="str">
        <x:f ca="1">IF($E30="","",IFERROR(VLOOKUP($E30,validation!$A$2:$B$24,2,FALSE),""))</x:f>
      </x:c>
      <x:c r="E30" s="5" t="str">
        <x:f ca="1">IF($D30="","",IFERROR(INDEX(validation!$A$2:$A$24,MATCH($D30,validation!$B$2:$B$24,0)),""))</x:f>
      </x:c>
    </x:row>
    <x:row r="31" s="5" customFormat="1" ht="18" customHeight="1">
      <x:c r="D31" s="5" t="str">
        <x:f ca="1">IF($E31="","",IFERROR(VLOOKUP($E31,validation!$A$2:$B$24,2,FALSE),""))</x:f>
      </x:c>
      <x:c r="E31" s="5" t="str">
        <x:f ca="1">IF($D31="","",IFERROR(INDEX(validation!$A$2:$A$24,MATCH($D31,validation!$B$2:$B$24,0)),""))</x:f>
      </x:c>
    </x:row>
    <x:row r="32" s="5" customFormat="1" ht="18" customHeight="1">
      <x:c r="D32" s="5" t="str">
        <x:f ca="1">IF($E32="","",IFERROR(VLOOKUP($E32,validation!$A$2:$B$24,2,FALSE),""))</x:f>
      </x:c>
      <x:c r="E32" s="5" t="str">
        <x:f ca="1">IF($D32="","",IFERROR(INDEX(validation!$A$2:$A$24,MATCH($D32,validation!$B$2:$B$24,0)),""))</x:f>
      </x:c>
    </x:row>
    <x:row r="33" s="5" customFormat="1" ht="18" customHeight="1">
      <x:c r="D33" s="5" t="str">
        <x:f ca="1">IF($E33="","",IFERROR(VLOOKUP($E33,validation!$A$2:$B$24,2,FALSE),""))</x:f>
      </x:c>
      <x:c r="E33" s="5" t="str">
        <x:f ca="1">IF($D33="","",IFERROR(INDEX(validation!$A$2:$A$24,MATCH($D33,validation!$B$2:$B$24,0)),""))</x:f>
      </x:c>
    </x:row>
    <x:row r="34" s="5" customFormat="1" ht="18" customHeight="1">
      <x:c r="D34" s="5" t="str">
        <x:f ca="1">IF($E34="","",IFERROR(VLOOKUP($E34,validation!$A$2:$B$24,2,FALSE),""))</x:f>
      </x:c>
      <x:c r="E34" s="5" t="str">
        <x:f ca="1">IF($D34="","",IFERROR(INDEX(validation!$A$2:$A$24,MATCH($D34,validation!$B$2:$B$24,0)),""))</x:f>
      </x:c>
    </x:row>
    <x:row r="35" s="5" customFormat="1" ht="18" customHeight="1">
      <x:c r="D35" s="5" t="str">
        <x:f ca="1">IF($E35="","",IFERROR(VLOOKUP($E35,validation!$A$2:$B$24,2,FALSE),""))</x:f>
      </x:c>
      <x:c r="E35" s="5" t="str">
        <x:f ca="1">IF($D35="","",IFERROR(INDEX(validation!$A$2:$A$24,MATCH($D35,validation!$B$2:$B$24,0)),""))</x:f>
      </x:c>
    </x:row>
    <x:row r="36" s="5" customFormat="1" ht="18" customHeight="1">
      <x:c r="D36" s="5" t="str">
        <x:f ca="1">IF($E36="","",IFERROR(VLOOKUP($E36,validation!$A$2:$B$24,2,FALSE),""))</x:f>
      </x:c>
      <x:c r="E36" s="5" t="str">
        <x:f ca="1">IF($D36="","",IFERROR(INDEX(validation!$A$2:$A$24,MATCH($D36,validation!$B$2:$B$24,0)),""))</x:f>
      </x:c>
    </x:row>
    <x:row r="37" s="5" customFormat="1" ht="18" customHeight="1">
      <x:c r="D37" s="5" t="str">
        <x:f ca="1">IF($E37="","",IFERROR(VLOOKUP($E37,validation!$A$2:$B$24,2,FALSE),""))</x:f>
      </x:c>
      <x:c r="E37" s="5" t="str">
        <x:f ca="1">IF($D37="","",IFERROR(INDEX(validation!$A$2:$A$24,MATCH($D37,validation!$B$2:$B$24,0)),""))</x:f>
      </x:c>
    </x:row>
    <x:row r="38" s="5" customFormat="1" ht="18" customHeight="1">
      <x:c r="D38" s="5" t="str">
        <x:f ca="1">IF($E38="","",IFERROR(VLOOKUP($E38,validation!$A$2:$B$24,2,FALSE),""))</x:f>
      </x:c>
      <x:c r="E38" s="5" t="str">
        <x:f ca="1">IF($D38="","",IFERROR(INDEX(validation!$A$2:$A$24,MATCH($D38,validation!$B$2:$B$24,0)),""))</x:f>
      </x:c>
    </x:row>
    <x:row r="39" s="5" customFormat="1" ht="18" customHeight="1">
      <x:c r="D39" s="5" t="str">
        <x:f ca="1">IF($E39="","",IFERROR(VLOOKUP($E39,validation!$A$2:$B$24,2,FALSE),""))</x:f>
      </x:c>
      <x:c r="E39" s="5" t="str">
        <x:f ca="1">IF($D39="","",IFERROR(INDEX(validation!$A$2:$A$24,MATCH($D39,validation!$B$2:$B$24,0)),""))</x:f>
      </x:c>
    </x:row>
    <x:row r="40" s="5" customFormat="1" ht="18" customHeight="1"/>
    <x:row r="41" s="5" customFormat="1" ht="18" customHeight="1">
      <x:c r="D41" s="5" t="str">
        <x:f ca="1">IF($E41="","",IFERROR(VLOOKUP($E41,validation!$A$2:$B$24,2,FALSE),""))</x:f>
      </x:c>
      <x:c r="E41" s="5" t="str">
        <x:f ca="1">IF($D41="","",IFERROR(INDEX(validation!$A$2:$A$24,MATCH($D41,validation!$B$2:$B$24,0)),""))</x:f>
      </x:c>
    </x:row>
    <x:row r="42" s="5" customFormat="1" ht="18" customHeight="1">
      <x:c r="D42" s="5" t="str">
        <x:f ca="1">IF($E42="","",IFERROR(VLOOKUP($E42,validation!$A$2:$B$24,2,FALSE),""))</x:f>
      </x:c>
      <x:c r="E42" s="5" t="str">
        <x:f ca="1">IF($D42="","",IFERROR(INDEX(validation!$A$2:$A$24,MATCH($D42,validation!$B$2:$B$24,0)),""))</x:f>
      </x:c>
    </x:row>
    <x:row r="43" s="5" customFormat="1" ht="18" customHeight="1">
      <x:c r="D43" s="5" t="str">
        <x:f ca="1">IF($E43="","",IFERROR(VLOOKUP($E43,validation!$A$2:$B$24,2,FALSE),""))</x:f>
      </x:c>
      <x:c r="E43" s="5" t="str">
        <x:f ca="1">IF($D43="","",IFERROR(INDEX(validation!$A$2:$A$24,MATCH($D43,validation!$B$2:$B$24,0)),""))</x:f>
      </x:c>
    </x:row>
    <x:row r="44" s="5" customFormat="1" ht="18" customHeight="1">
      <x:c r="D44" s="5" t="str">
        <x:f ca="1">IF($E44="","",IFERROR(VLOOKUP($E44,validation!$A$2:$B$24,2,FALSE),""))</x:f>
      </x:c>
      <x:c r="E44" s="5" t="str">
        <x:f ca="1">IF($D44="","",IFERROR(INDEX(validation!$A$2:$A$24,MATCH($D44,validation!$B$2:$B$24,0)),""))</x:f>
      </x:c>
    </x:row>
    <x:row r="45" s="5" customFormat="1" ht="18" customHeight="1">
      <x:c r="D45" s="5" t="str">
        <x:f ca="1">IF($E45="","",IFERROR(VLOOKUP($E45,validation!$A$2:$B$24,2,FALSE),""))</x:f>
      </x:c>
      <x:c r="E45" s="5" t="str">
        <x:f ca="1">IF($D45="","",IFERROR(INDEX(validation!$A$2:$A$24,MATCH($D45,validation!$B$2:$B$24,0)),""))</x:f>
      </x:c>
    </x:row>
    <x:row r="46" s="5" customFormat="1" ht="18" customHeight="1">
      <x:c r="D46" s="5" t="str">
        <x:f ca="1">IF($E46="","",IFERROR(VLOOKUP($E46,validation!$A$2:$B$24,2,FALSE),""))</x:f>
      </x:c>
      <x:c r="E46" s="5" t="str">
        <x:f ca="1">IF($D46="","",IFERROR(INDEX(validation!$A$2:$A$24,MATCH($D46,validation!$B$2:$B$24,0)),""))</x:f>
      </x:c>
    </x:row>
    <x:row r="47" s="5" customFormat="1" ht="18" customHeight="1">
      <x:c r="D47" s="5" t="str">
        <x:f ca="1">IF($E47="","",IFERROR(VLOOKUP($E47,validation!$A$2:$B$24,2,FALSE),""))</x:f>
      </x:c>
      <x:c r="E47" s="5" t="str">
        <x:f ca="1">IF($D47="","",IFERROR(INDEX(validation!$A$2:$A$24,MATCH($D47,validation!$B$2:$B$24,0)),""))</x:f>
      </x:c>
    </x:row>
    <x:row r="48" s="5" customFormat="1" ht="18" customHeight="1">
      <x:c r="D48" s="5" t="str">
        <x:f ca="1">IF($E48="","",IFERROR(VLOOKUP($E48,validation!$A$2:$B$24,2,FALSE),""))</x:f>
      </x:c>
      <x:c r="E48" s="5" t="str">
        <x:f ca="1">IF($D48="","",IFERROR(INDEX(validation!$A$2:$A$24,MATCH($D48,validation!$B$2:$B$24,0)),""))</x:f>
      </x:c>
    </x:row>
    <x:row r="49" s="5" customFormat="1" ht="18" customHeight="1">
      <x:c r="D49" s="5" t="str">
        <x:f ca="1">IF($E49="","",IFERROR(VLOOKUP($E49,validation!$A$2:$B$24,2,FALSE),""))</x:f>
      </x:c>
      <x:c r="E49" s="5" t="str">
        <x:f ca="1">IF($D49="","",IFERROR(INDEX(validation!$A$2:$A$24,MATCH($D49,validation!$B$2:$B$24,0)),""))</x:f>
      </x:c>
    </x:row>
    <x:row r="50" s="5" customFormat="1" ht="18" customHeight="1">
      <x:c r="D50" s="5" t="str">
        <x:f ca="1">IF($E50="","",IFERROR(VLOOKUP($E50,validation!$A$2:$B$24,2,FALSE),""))</x:f>
      </x:c>
      <x:c r="E50" s="5" t="str">
        <x:f ca="1">IF($D50="","",IFERROR(INDEX(validation!$A$2:$A$24,MATCH($D50,validation!$B$2:$B$24,0)),""))</x:f>
      </x:c>
    </x:row>
    <x:row r="51" s="5" customFormat="1" ht="18" customHeight="1">
      <x:c r="D51" s="5" t="str">
        <x:f ca="1">IF($E51="","",IFERROR(VLOOKUP($E51,validation!$A$2:$B$24,2,FALSE),""))</x:f>
      </x:c>
      <x:c r="E51" s="5" t="str">
        <x:f ca="1">IF($D51="","",IFERROR(INDEX(validation!$A$2:$A$24,MATCH($D51,validation!$B$2:$B$24,0)),""))</x:f>
      </x:c>
    </x:row>
    <x:row r="52" s="5" customFormat="1" ht="18" customHeight="1">
      <x:c r="D52" s="5" t="str">
        <x:f ca="1">IF($E52="","",IFERROR(VLOOKUP($E52,validation!$A$2:$B$24,2,FALSE),""))</x:f>
      </x:c>
      <x:c r="E52" s="5" t="str">
        <x:f ca="1">IF($D52="","",IFERROR(INDEX(validation!$A$2:$A$24,MATCH($D52,validation!$B$2:$B$24,0)),""))</x:f>
      </x:c>
    </x:row>
    <x:row r="53" s="5" customFormat="1" ht="18" customHeight="1">
      <x:c r="D53" s="5" t="str">
        <x:f ca="1">IF($E53="","",IFERROR(VLOOKUP($E53,validation!$A$2:$B$24,2,FALSE),""))</x:f>
      </x:c>
      <x:c r="E53" s="5" t="str">
        <x:f ca="1">IF($D53="","",IFERROR(INDEX(validation!$A$2:$A$24,MATCH($D53,validation!$B$2:$B$24,0)),""))</x:f>
      </x:c>
    </x:row>
    <x:row r="54" s="5" customFormat="1" ht="18" customHeight="1">
      <x:c r="D54" s="5" t="str">
        <x:f ca="1">IF($E54="","",IFERROR(VLOOKUP($E54,validation!$A$2:$B$24,2,FALSE),""))</x:f>
      </x:c>
      <x:c r="E54" s="5" t="str">
        <x:f ca="1">IF($D54="","",IFERROR(INDEX(validation!$A$2:$A$24,MATCH($D54,validation!$B$2:$B$24,0)),""))</x:f>
      </x:c>
    </x:row>
    <x:row r="55" s="5" customFormat="1" ht="18" customHeight="1">
      <x:c r="D55" s="5" t="str">
        <x:f ca="1">IF($E55="","",IFERROR(VLOOKUP($E55,validation!$A$2:$B$24,2,FALSE),""))</x:f>
      </x:c>
      <x:c r="E55" s="5" t="str">
        <x:f ca="1">IF($D55="","",IFERROR(INDEX(validation!$A$2:$A$24,MATCH($D55,validation!$B$2:$B$24,0)),""))</x:f>
      </x:c>
    </x:row>
    <x:row r="56" s="5" customFormat="1" ht="18" customHeight="1">
      <x:c r="D56" s="5" t="str">
        <x:f ca="1">IF($E56="","",IFERROR(VLOOKUP($E56,validation!$A$2:$B$24,2,FALSE),""))</x:f>
      </x:c>
      <x:c r="E56" s="5" t="str">
        <x:f ca="1">IF($D56="","",IFERROR(INDEX(validation!$A$2:$A$24,MATCH($D56,validation!$B$2:$B$24,0)),""))</x:f>
      </x:c>
    </x:row>
    <x:row r="57" s="5" customFormat="1" ht="18" customHeight="1">
      <x:c r="D57" s="5" t="str">
        <x:f ca="1">IF($E57="","",IFERROR(VLOOKUP($E57,validation!$A$2:$B$24,2,FALSE),""))</x:f>
      </x:c>
      <x:c r="E57" s="5" t="str">
        <x:f ca="1">IF($D57="","",IFERROR(INDEX(validation!$A$2:$A$24,MATCH($D57,validation!$B$2:$B$24,0)),""))</x:f>
      </x:c>
    </x:row>
    <x:row r="58" s="5" customFormat="1" ht="18" customHeight="1">
      <x:c r="D58" s="5" t="str">
        <x:f ca="1">IF($E58="","",IFERROR(VLOOKUP($E58,validation!$A$2:$B$24,2,FALSE),""))</x:f>
      </x:c>
      <x:c r="E58" s="5" t="str">
        <x:f ca="1">IF($D58="","",IFERROR(INDEX(validation!$A$2:$A$24,MATCH($D58,validation!$B$2:$B$24,0)),""))</x:f>
      </x:c>
    </x:row>
    <x:row r="59" s="5" customFormat="1" ht="18" customHeight="1">
      <x:c r="D59" s="5" t="str">
        <x:f ca="1">IF($E59="","",IFERROR(VLOOKUP($E59,validation!$A$2:$B$24,2,FALSE),""))</x:f>
      </x:c>
      <x:c r="E59" s="5" t="str">
        <x:f ca="1">IF($D59="","",IFERROR(INDEX(validation!$A$2:$A$24,MATCH($D59,validation!$B$2:$B$24,0)),""))</x:f>
      </x:c>
    </x:row>
    <x:row r="60" s="5" customFormat="1" ht="18" customHeight="1">
      <x:c r="D60" s="5" t="str">
        <x:f ca="1">IF($E60="","",IFERROR(VLOOKUP($E60,validation!$A$2:$B$24,2,FALSE),""))</x:f>
      </x:c>
      <x:c r="E60" s="5" t="str">
        <x:f ca="1">IF($D60="","",IFERROR(INDEX(validation!$A$2:$A$24,MATCH($D60,validation!$B$2:$B$24,0)),""))</x:f>
      </x:c>
    </x:row>
    <x:row r="61" s="5" customFormat="1" ht="18" customHeight="1">
      <x:c r="D61" s="5" t="str">
        <x:f ca="1">IF($E61="","",IFERROR(VLOOKUP($E61,validation!$A$2:$B$24,2,FALSE),""))</x:f>
      </x:c>
      <x:c r="E61" s="5" t="str">
        <x:f ca="1">IF($D61="","",IFERROR(INDEX(validation!$A$2:$A$24,MATCH($D61,validation!$B$2:$B$24,0)),""))</x:f>
      </x:c>
    </x:row>
    <x:row r="62" s="5" customFormat="1" ht="18" customHeight="1">
      <x:c r="D62" s="5" t="str">
        <x:f ca="1">IF($E62="","",IFERROR(VLOOKUP($E62,validation!$A$2:$B$24,2,FALSE),""))</x:f>
      </x:c>
      <x:c r="E62" s="5" t="str">
        <x:f ca="1">IF($D62="","",IFERROR(INDEX(validation!$A$2:$A$24,MATCH($D62,validation!$B$2:$B$24,0)),""))</x:f>
      </x:c>
    </x:row>
    <x:row r="63" s="5" customFormat="1" ht="18" customHeight="1">
      <x:c r="D63" s="5" t="str">
        <x:f ca="1">IF($E63="","",IFERROR(VLOOKUP($E63,validation!$A$2:$B$24,2,FALSE),""))</x:f>
      </x:c>
      <x:c r="E63" s="5" t="str">
        <x:f ca="1">IF($D63="","",IFERROR(INDEX(validation!$A$2:$A$24,MATCH($D63,validation!$B$2:$B$24,0)),""))</x:f>
      </x:c>
    </x:row>
    <x:row r="64" s="5" customFormat="1" ht="18" customHeight="1">
      <x:c r="D64" s="5" t="str">
        <x:f ca="1">IF($E64="","",IFERROR(VLOOKUP($E64,validation!$A$2:$B$24,2,FALSE),""))</x:f>
      </x:c>
      <x:c r="E64" s="5" t="str">
        <x:f ca="1">IF($D64="","",IFERROR(INDEX(validation!$A$2:$A$24,MATCH($D64,validation!$B$2:$B$24,0)),""))</x:f>
      </x:c>
    </x:row>
    <x:row r="65" s="5" customFormat="1" ht="18" customHeight="1">
      <x:c r="D65" s="5" t="str">
        <x:f ca="1">IF($E65="","",IFERROR(VLOOKUP($E65,validation!$A$2:$B$24,2,FALSE),""))</x:f>
      </x:c>
      <x:c r="E65" s="5" t="str">
        <x:f ca="1">IF($D65="","",IFERROR(INDEX(validation!$A$2:$A$24,MATCH($D65,validation!$B$2:$B$24,0)),""))</x:f>
      </x:c>
    </x:row>
    <x:row r="66" s="5" customFormat="1" ht="18" customHeight="1">
      <x:c r="D66" s="5" t="str">
        <x:f ca="1">IF($E66="","",IFERROR(VLOOKUP($E66,validation!$A$2:$B$24,2,FALSE),""))</x:f>
      </x:c>
      <x:c r="E66" s="5" t="str">
        <x:f ca="1">IF($D66="","",IFERROR(INDEX(validation!$A$2:$A$24,MATCH($D66,validation!$B$2:$B$24,0)),""))</x:f>
      </x:c>
    </x:row>
    <x:row r="67" s="5" customFormat="1" ht="18" customHeight="1">
      <x:c r="D67" s="5" t="str">
        <x:f ca="1">IF($E67="","",IFERROR(VLOOKUP($E67,validation!$A$2:$B$24,2,FALSE),""))</x:f>
      </x:c>
      <x:c r="E67" s="5" t="str">
        <x:f ca="1">IF($D67="","",IFERROR(INDEX(validation!$A$2:$A$24,MATCH($D67,validation!$B$2:$B$24,0)),""))</x:f>
      </x:c>
    </x:row>
    <x:row r="68" s="5" customFormat="1" ht="18" customHeight="1">
      <x:c r="D68" s="5" t="str">
        <x:f ca="1">IF($E68="","",IFERROR(VLOOKUP($E68,validation!$A$2:$B$24,2,FALSE),""))</x:f>
      </x:c>
      <x:c r="E68" s="5" t="str">
        <x:f ca="1">IF($D68="","",IFERROR(INDEX(validation!$A$2:$A$24,MATCH($D68,validation!$B$2:$B$24,0)),""))</x:f>
      </x:c>
    </x:row>
    <x:row r="69" s="5" customFormat="1" ht="18" customHeight="1">
      <x:c r="D69" s="5" t="str">
        <x:f ca="1">IF($E69="","",IFERROR(VLOOKUP($E69,validation!$A$2:$B$24,2,FALSE),""))</x:f>
      </x:c>
      <x:c r="E69" s="5" t="str">
        <x:f ca="1">IF($D69="","",IFERROR(INDEX(validation!$A$2:$A$24,MATCH($D69,validation!$B$2:$B$24,0)),""))</x:f>
      </x:c>
    </x:row>
    <x:row r="70" s="5" customFormat="1" ht="18" customHeight="1">
      <x:c r="D70" s="5" t="str">
        <x:f ca="1">IF($E70="","",IFERROR(VLOOKUP($E70,validation!$A$2:$B$24,2,FALSE),""))</x:f>
      </x:c>
      <x:c r="E70" s="5" t="str">
        <x:f ca="1">IF($D70="","",IFERROR(INDEX(validation!$A$2:$A$24,MATCH($D70,validation!$B$2:$B$24,0)),""))</x:f>
      </x:c>
    </x:row>
    <x:row r="71" s="5" customFormat="1" ht="18" customHeight="1">
      <x:c r="D71" s="5" t="str">
        <x:f ca="1">IF($E71="","",IFERROR(VLOOKUP($E71,validation!$A$2:$B$24,2,FALSE),""))</x:f>
      </x:c>
      <x:c r="E71" s="5" t="str">
        <x:f ca="1">IF($D71="","",IFERROR(INDEX(validation!$A$2:$A$24,MATCH($D71,validation!$B$2:$B$24,0)),""))</x:f>
      </x:c>
    </x:row>
    <x:row r="72" s="5" customFormat="1" ht="18" customHeight="1">
      <x:c r="D72" s="5" t="str">
        <x:f ca="1">IF($E72="","",IFERROR(VLOOKUP($E72,validation!$A$2:$B$24,2,FALSE),""))</x:f>
      </x:c>
      <x:c r="E72" s="5" t="str">
        <x:f ca="1">IF($D72="","",IFERROR(INDEX(validation!$A$2:$A$24,MATCH($D72,validation!$B$2:$B$24,0)),""))</x:f>
      </x:c>
    </x:row>
    <x:row r="73" s="5" customFormat="1" ht="18" customHeight="1">
      <x:c r="D73" s="5" t="str">
        <x:f ca="1">IF($E73="","",IFERROR(VLOOKUP($E73,validation!$A$2:$B$24,2,FALSE),""))</x:f>
      </x:c>
      <x:c r="E73" s="5" t="str">
        <x:f ca="1">IF($D73="","",IFERROR(INDEX(validation!$A$2:$A$24,MATCH($D73,validation!$B$2:$B$24,0)),""))</x:f>
      </x:c>
    </x:row>
    <x:row r="74" s="5" customFormat="1" ht="18" customHeight="1">
      <x:c r="D74" s="5" t="str">
        <x:f ca="1">IF($E74="","",IFERROR(VLOOKUP($E74,validation!$A$2:$B$24,2,FALSE),""))</x:f>
      </x:c>
      <x:c r="E74" s="5" t="str">
        <x:f ca="1">IF($D74="","",IFERROR(INDEX(validation!$A$2:$A$24,MATCH($D74,validation!$B$2:$B$24,0)),""))</x:f>
      </x:c>
    </x:row>
    <x:row r="75" s="5" customFormat="1" ht="18" customHeight="1">
      <x:c r="D75" s="5" t="str">
        <x:f ca="1">IF($E75="","",IFERROR(VLOOKUP($E75,validation!$A$2:$B$24,2,FALSE),""))</x:f>
      </x:c>
      <x:c r="E75" s="5" t="str">
        <x:f ca="1">IF($D75="","",IFERROR(INDEX(validation!$A$2:$A$24,MATCH($D75,validation!$B$2:$B$24,0)),""))</x:f>
      </x:c>
    </x:row>
    <x:row r="76" s="5" customFormat="1" ht="18" customHeight="1">
      <x:c r="D76" s="5" t="str">
        <x:f ca="1">IF($E76="","",IFERROR(VLOOKUP($E76,validation!$A$2:$B$24,2,FALSE),""))</x:f>
      </x:c>
      <x:c r="E76" s="5" t="str">
        <x:f ca="1">IF($D76="","",IFERROR(INDEX(validation!$A$2:$A$24,MATCH($D76,validation!$B$2:$B$24,0)),""))</x:f>
      </x:c>
    </x:row>
    <x:row r="77" s="5" customFormat="1" ht="18" customHeight="1">
      <x:c r="D77" s="5" t="str">
        <x:f ca="1">IF($E77="","",IFERROR(VLOOKUP($E77,validation!$A$2:$B$24,2,FALSE),""))</x:f>
      </x:c>
      <x:c r="E77" s="5" t="str">
        <x:f ca="1">IF($D77="","",IFERROR(INDEX(validation!$A$2:$A$24,MATCH($D77,validation!$B$2:$B$24,0)),""))</x:f>
      </x:c>
    </x:row>
    <x:row r="78" s="5" customFormat="1" ht="18" customHeight="1">
      <x:c r="D78" s="5" t="str">
        <x:f ca="1">IF($E78="","",IFERROR(VLOOKUP($E78,validation!$A$2:$B$24,2,FALSE),""))</x:f>
      </x:c>
      <x:c r="E78" s="5" t="str">
        <x:f ca="1">IF($D78="","",IFERROR(INDEX(validation!$A$2:$A$24,MATCH($D78,validation!$B$2:$B$24,0)),""))</x:f>
      </x:c>
    </x:row>
    <x:row r="79" s="5" customFormat="1" ht="18" customHeight="1">
      <x:c r="D79" s="5" t="str">
        <x:f ca="1">IF($E79="","",IFERROR(VLOOKUP($E79,validation!$A$2:$B$24,2,FALSE),""))</x:f>
      </x:c>
      <x:c r="E79" s="5" t="str">
        <x:f ca="1">IF($D79="","",IFERROR(INDEX(validation!$A$2:$A$24,MATCH($D79,validation!$B$2:$B$24,0)),""))</x:f>
      </x:c>
    </x:row>
    <x:row r="80" s="5" customFormat="1" ht="18" customHeight="1">
      <x:c r="D80" s="5" t="str">
        <x:f ca="1">IF($E80="","",IFERROR(VLOOKUP($E80,validation!$A$2:$B$24,2,FALSE),""))</x:f>
      </x:c>
      <x:c r="E80" s="5" t="str">
        <x:f ca="1">IF($D80="","",IFERROR(INDEX(validation!$A$2:$A$24,MATCH($D80,validation!$B$2:$B$24,0)),""))</x:f>
      </x:c>
    </x:row>
    <x:row r="81" s="5" customFormat="1" ht="18" customHeight="1">
      <x:c r="D81" s="5" t="str">
        <x:f ca="1">IF($E81="","",IFERROR(VLOOKUP($E81,validation!$A$2:$B$24,2,FALSE),""))</x:f>
      </x:c>
      <x:c r="E81" s="5" t="str">
        <x:f ca="1">IF($D81="","",IFERROR(INDEX(validation!$A$2:$A$24,MATCH($D81,validation!$B$2:$B$24,0)),""))</x:f>
      </x:c>
    </x:row>
    <x:row r="82" s="5" customFormat="1" ht="18" customHeight="1">
      <x:c r="D82" s="5" t="str">
        <x:f ca="1">IF($E82="","",IFERROR(VLOOKUP($E82,validation!$A$2:$B$24,2,FALSE),""))</x:f>
      </x:c>
      <x:c r="E82" s="5" t="str">
        <x:f ca="1">IF($D82="","",IFERROR(INDEX(validation!$A$2:$A$24,MATCH($D82,validation!$B$2:$B$24,0)),""))</x:f>
      </x:c>
    </x:row>
    <x:row r="83" s="5" customFormat="1" ht="18" customHeight="1">
      <x:c r="D83" s="5" t="str">
        <x:f ca="1">IF($E83="","",IFERROR(VLOOKUP($E83,validation!$A$2:$B$24,2,FALSE),""))</x:f>
      </x:c>
      <x:c r="E83" s="5" t="str">
        <x:f ca="1">IF($D83="","",IFERROR(INDEX(validation!$A$2:$A$24,MATCH($D83,validation!$B$2:$B$24,0)),""))</x:f>
      </x:c>
    </x:row>
    <x:row r="84" s="5" customFormat="1" ht="18" customHeight="1">
      <x:c r="D84" s="5" t="str">
        <x:f ca="1">IF($E84="","",IFERROR(VLOOKUP($E84,validation!$A$2:$B$24,2,FALSE),""))</x:f>
      </x:c>
      <x:c r="E84" s="5" t="str">
        <x:f ca="1">IF($D84="","",IFERROR(INDEX(validation!$A$2:$A$24,MATCH($D84,validation!$B$2:$B$24,0)),""))</x:f>
      </x:c>
    </x:row>
    <x:row r="85" s="5" customFormat="1" ht="18" customHeight="1">
      <x:c r="D85" s="5" t="str">
        <x:f ca="1">IF($E85="","",IFERROR(VLOOKUP($E85,validation!$A$2:$B$24,2,FALSE),""))</x:f>
      </x:c>
      <x:c r="E85" s="5" t="str">
        <x:f ca="1">IF($D85="","",IFERROR(INDEX(validation!$A$2:$A$24,MATCH($D85,validation!$B$2:$B$24,0)),""))</x:f>
      </x:c>
    </x:row>
    <x:row r="86" s="5" customFormat="1" ht="18" customHeight="1">
      <x:c r="D86" s="5" t="str">
        <x:f ca="1">IF($E86="","",IFERROR(VLOOKUP($E86,validation!$A$2:$B$24,2,FALSE),""))</x:f>
      </x:c>
      <x:c r="E86" s="5" t="str">
        <x:f ca="1">IF($D86="","",IFERROR(INDEX(validation!$A$2:$A$24,MATCH($D86,validation!$B$2:$B$24,0)),""))</x:f>
      </x:c>
    </x:row>
    <x:row r="87" s="5" customFormat="1" ht="18" customHeight="1">
      <x:c r="D87" s="5" t="str">
        <x:f ca="1">IF($E87="","",IFERROR(VLOOKUP($E87,validation!$A$2:$B$24,2,FALSE),""))</x:f>
      </x:c>
      <x:c r="E87" s="5" t="str">
        <x:f ca="1">IF($D87="","",IFERROR(INDEX(validation!$A$2:$A$24,MATCH($D87,validation!$B$2:$B$24,0)),""))</x:f>
      </x:c>
    </x:row>
    <x:row r="88" s="5" customFormat="1" ht="18" customHeight="1">
      <x:c r="D88" s="5" t="str">
        <x:f ca="1">IF($E88="","",IFERROR(VLOOKUP($E88,validation!$A$2:$B$24,2,FALSE),""))</x:f>
      </x:c>
      <x:c r="E88" s="5" t="str">
        <x:f ca="1">IF($D88="","",IFERROR(INDEX(validation!$A$2:$A$24,MATCH($D88,validation!$B$2:$B$24,0)),""))</x:f>
      </x:c>
    </x:row>
    <x:row r="89" s="5" customFormat="1" ht="18" customHeight="1">
      <x:c r="D89" s="5" t="str">
        <x:f ca="1">IF($E89="","",IFERROR(VLOOKUP($E89,validation!$A$2:$B$24,2,FALSE),""))</x:f>
      </x:c>
      <x:c r="E89" s="5" t="str">
        <x:f ca="1">IF($D89="","",IFERROR(INDEX(validation!$A$2:$A$24,MATCH($D89,validation!$B$2:$B$24,0)),""))</x:f>
      </x:c>
    </x:row>
    <x:row r="90" s="5" customFormat="1" ht="18" customHeight="1">
      <x:c r="D90" s="5" t="str">
        <x:f ca="1">IF($E90="","",IFERROR(VLOOKUP($E90,validation!$A$2:$B$24,2,FALSE),""))</x:f>
      </x:c>
      <x:c r="E90" s="5" t="str">
        <x:f ca="1">IF($D90="","",IFERROR(INDEX(validation!$A$2:$A$24,MATCH($D90,validation!$B$2:$B$24,0)),""))</x:f>
      </x:c>
    </x:row>
    <x:row r="91" s="5" customFormat="1" ht="18" customHeight="1">
      <x:c r="D91" s="5" t="str">
        <x:f ca="1">IF($E91="","",IFERROR(VLOOKUP($E91,validation!$A$2:$B$24,2,FALSE),""))</x:f>
      </x:c>
      <x:c r="E91" s="5" t="str">
        <x:f ca="1">IF($D91="","",IFERROR(INDEX(validation!$A$2:$A$24,MATCH($D91,validation!$B$2:$B$24,0)),""))</x:f>
      </x:c>
    </x:row>
    <x:row r="92" s="5" customFormat="1" ht="18" customHeight="1">
      <x:c r="D92" s="5" t="str">
        <x:f ca="1">IF($E92="","",IFERROR(VLOOKUP($E92,validation!$A$2:$B$24,2,FALSE),""))</x:f>
      </x:c>
      <x:c r="E92" s="5" t="str">
        <x:f ca="1">IF($D92="","",IFERROR(INDEX(validation!$A$2:$A$24,MATCH($D92,validation!$B$2:$B$24,0)),""))</x:f>
      </x:c>
    </x:row>
    <x:row r="93" s="5" customFormat="1" ht="18" customHeight="1">
      <x:c r="D93" s="5" t="str">
        <x:f ca="1">IF($E93="","",IFERROR(VLOOKUP($E93,validation!$A$2:$B$24,2,FALSE),""))</x:f>
      </x:c>
      <x:c r="E93" s="5" t="str">
        <x:f ca="1">IF($D93="","",IFERROR(INDEX(validation!$A$2:$A$24,MATCH($D93,validation!$B$2:$B$24,0)),""))</x:f>
      </x:c>
    </x:row>
    <x:row r="94" s="5" customFormat="1" ht="18" customHeight="1">
      <x:c r="D94" s="5" t="str">
        <x:f ca="1">IF($E94="","",IFERROR(VLOOKUP($E94,validation!$A$2:$B$24,2,FALSE),""))</x:f>
      </x:c>
      <x:c r="E94" s="5" t="str">
        <x:f ca="1">IF($D94="","",IFERROR(INDEX(validation!$A$2:$A$24,MATCH($D94,validation!$B$2:$B$24,0)),""))</x:f>
      </x:c>
    </x:row>
    <x:row r="95" s="5" customFormat="1" ht="18" customHeight="1">
      <x:c r="D95" s="5" t="str">
        <x:f ca="1">IF($E95="","",IFERROR(VLOOKUP($E95,validation!$A$2:$B$24,2,FALSE),""))</x:f>
      </x:c>
      <x:c r="E95" s="5" t="str">
        <x:f ca="1">IF($D95="","",IFERROR(INDEX(validation!$A$2:$A$24,MATCH($D95,validation!$B$2:$B$24,0)),""))</x:f>
      </x:c>
    </x:row>
    <x:row r="96" s="5" customFormat="1" ht="18" customHeight="1">
      <x:c r="D96" s="5" t="str">
        <x:f ca="1">IF($E96="","",IFERROR(VLOOKUP($E96,validation!$A$2:$B$24,2,FALSE),""))</x:f>
      </x:c>
      <x:c r="E96" s="5" t="str">
        <x:f ca="1">IF($D96="","",IFERROR(INDEX(validation!$A$2:$A$24,MATCH($D96,validation!$B$2:$B$24,0)),""))</x:f>
      </x:c>
    </x:row>
    <x:row r="97" s="5" customFormat="1" ht="18" customHeight="1">
      <x:c r="D97" s="5" t="str">
        <x:f ca="1">IF($E97="","",IFERROR(VLOOKUP($E97,validation!$A$2:$B$24,2,FALSE),""))</x:f>
      </x:c>
      <x:c r="E97" s="5" t="str">
        <x:f ca="1">IF($D97="","",IFERROR(INDEX(validation!$A$2:$A$24,MATCH($D97,validation!$B$2:$B$24,0)),""))</x:f>
      </x:c>
    </x:row>
    <x:row r="98" s="5" customFormat="1" ht="18" customHeight="1">
      <x:c r="D98" s="5" t="str">
        <x:f ca="1">IF($E98="","",IFERROR(VLOOKUP($E98,validation!$A$2:$B$24,2,FALSE),""))</x:f>
      </x:c>
      <x:c r="E98" s="5" t="str">
        <x:f ca="1">IF($D98="","",IFERROR(INDEX(validation!$A$2:$A$24,MATCH($D98,validation!$B$2:$B$24,0)),""))</x:f>
      </x:c>
    </x:row>
    <x:row r="99" s="5" customFormat="1" ht="18" customHeight="1">
      <x:c r="D99" s="5" t="str">
        <x:f ca="1">IF($E99="","",IFERROR(VLOOKUP($E99,validation!$A$2:$B$24,2,FALSE),""))</x:f>
      </x:c>
      <x:c r="E99" s="5" t="str">
        <x:f ca="1">IF($D99="","",IFERROR(INDEX(validation!$A$2:$A$24,MATCH($D99,validation!$B$2:$B$24,0)),""))</x:f>
      </x:c>
    </x:row>
    <x:row r="100" s="5" customFormat="1" ht="18" customHeight="1">
      <x:c r="D100" s="5" t="str">
        <x:f ca="1">IF($E100="","",IFERROR(VLOOKUP($E100,validation!$A$2:$B$24,2,FALSE),""))</x:f>
      </x:c>
      <x:c r="E100" s="5" t="str">
        <x:f ca="1">IF($D100="","",IFERROR(INDEX(validation!$A$2:$A$24,MATCH($D100,validation!$B$2:$B$24,0)),""))</x:f>
      </x:c>
    </x:row>
    <x:row r="101" s="5" customFormat="1" ht="18" customHeight="1">
      <x:c r="D101" s="5" t="str">
        <x:f ca="1">IF($E101="","",IFERROR(VLOOKUP($E101,validation!$A$2:$B$24,2,FALSE),""))</x:f>
      </x:c>
      <x:c r="E101" s="5" t="str">
        <x:f ca="1">IF($D101="","",IFERROR(INDEX(validation!$A$2:$A$24,MATCH($D101,validation!$B$2:$B$24,0)),""))</x:f>
      </x:c>
    </x:row>
    <x:row r="102" s="5" customFormat="1" ht="18" customHeight="1">
      <x:c r="D102" s="5" t="str">
        <x:f ca="1">IF($E102="","",IFERROR(VLOOKUP($E102,validation!$A$2:$B$24,2,FALSE),""))</x:f>
      </x:c>
      <x:c r="E102" s="5" t="str">
        <x:f ca="1">IF($D102="","",IFERROR(INDEX(validation!$A$2:$A$24,MATCH($D102,validation!$B$2:$B$24,0)),""))</x:f>
      </x:c>
    </x:row>
    <x:row r="103" s="5" customFormat="1" ht="18" customHeight="1">
      <x:c r="D103" s="5" t="str">
        <x:f ca="1">IF($E103="","",IFERROR(VLOOKUP($E103,validation!$A$2:$B$24,2,FALSE),""))</x:f>
      </x:c>
      <x:c r="E103" s="5" t="str">
        <x:f ca="1">IF($D103="","",IFERROR(INDEX(validation!$A$2:$A$24,MATCH($D103,validation!$B$2:$B$24,0)),""))</x:f>
      </x:c>
    </x:row>
    <x:row r="104" s="5" customFormat="1" ht="18" customHeight="1">
      <x:c r="D104" s="5" t="str">
        <x:f ca="1">IF($E104="","",IFERROR(VLOOKUP($E104,validation!$A$2:$B$24,2,FALSE),""))</x:f>
      </x:c>
      <x:c r="E104" s="5" t="str">
        <x:f ca="1">IF($D104="","",IFERROR(INDEX(validation!$A$2:$A$24,MATCH($D104,validation!$B$2:$B$24,0)),""))</x:f>
      </x:c>
    </x:row>
    <x:row r="105" s="5" customFormat="1" ht="18" customHeight="1">
      <x:c r="D105" s="5" t="str">
        <x:f ca="1">IF($E105="","",IFERROR(VLOOKUP($E105,validation!$A$2:$B$24,2,FALSE),""))</x:f>
      </x:c>
      <x:c r="E105" s="5" t="str">
        <x:f ca="1">IF($D105="","",IFERROR(INDEX(validation!$A$2:$A$24,MATCH($D105,validation!$B$2:$B$24,0)),""))</x:f>
      </x:c>
    </x:row>
    <x:row r="106" s="5" customFormat="1" ht="18" customHeight="1">
      <x:c r="D106" s="5" t="str">
        <x:f ca="1">IF($E106="","",IFERROR(VLOOKUP($E106,validation!$A$2:$B$24,2,FALSE),""))</x:f>
      </x:c>
      <x:c r="E106" s="5" t="str">
        <x:f ca="1">IF($D106="","",IFERROR(INDEX(validation!$A$2:$A$24,MATCH($D106,validation!$B$2:$B$24,0)),""))</x:f>
      </x:c>
    </x:row>
    <x:row r="107" s="5" customFormat="1" ht="18" customHeight="1">
      <x:c r="D107" s="5" t="str">
        <x:f ca="1">IF($E107="","",IFERROR(VLOOKUP($E107,validation!$A$2:$B$24,2,FALSE),""))</x:f>
      </x:c>
      <x:c r="E107" s="5" t="str">
        <x:f ca="1">IF($D107="","",IFERROR(INDEX(validation!$A$2:$A$24,MATCH($D107,validation!$B$2:$B$24,0)),""))</x:f>
      </x:c>
    </x:row>
    <x:row r="108" s="5" customFormat="1" ht="18" customHeight="1">
      <x:c r="D108" s="5" t="str">
        <x:f ca="1">IF($E108="","",IFERROR(VLOOKUP($E108,validation!$A$2:$B$24,2,FALSE),""))</x:f>
      </x:c>
      <x:c r="E108" s="5" t="str">
        <x:f ca="1">IF($D108="","",IFERROR(INDEX(validation!$A$2:$A$24,MATCH($D108,validation!$B$2:$B$24,0)),""))</x:f>
      </x:c>
    </x:row>
    <x:row r="109" s="5" customFormat="1" ht="18" customHeight="1">
      <x:c r="D109" s="5" t="str">
        <x:f ca="1">IF($E109="","",IFERROR(VLOOKUP($E109,validation!$A$2:$B$24,2,FALSE),""))</x:f>
      </x:c>
      <x:c r="E109" s="5" t="str">
        <x:f ca="1">IF($D109="","",IFERROR(INDEX(validation!$A$2:$A$24,MATCH($D109,validation!$B$2:$B$24,0)),""))</x:f>
      </x:c>
    </x:row>
    <x:row r="110" s="5" customFormat="1" ht="18" customHeight="1">
      <x:c r="D110" s="5" t="str">
        <x:f ca="1">IF($E110="","",IFERROR(VLOOKUP($E110,validation!$A$2:$B$24,2,FALSE),""))</x:f>
      </x:c>
      <x:c r="E110" s="5" t="str">
        <x:f ca="1">IF($D110="","",IFERROR(INDEX(validation!$A$2:$A$24,MATCH($D110,validation!$B$2:$B$24,0)),""))</x:f>
      </x:c>
    </x:row>
    <x:row r="111" s="5" customFormat="1" ht="18" customHeight="1">
      <x:c r="D111" s="5" t="str">
        <x:f ca="1">IF($E111="","",IFERROR(VLOOKUP($E111,validation!$A$2:$B$24,2,FALSE),""))</x:f>
      </x:c>
      <x:c r="E111" s="5" t="str">
        <x:f ca="1">IF($D111="","",IFERROR(INDEX(validation!$A$2:$A$24,MATCH($D111,validation!$B$2:$B$24,0)),""))</x:f>
      </x:c>
    </x:row>
    <x:row r="112" s="5" customFormat="1" ht="18" customHeight="1">
      <x:c r="D112" s="5" t="str">
        <x:f ca="1">IF($E112="","",IFERROR(VLOOKUP($E112,validation!$A$2:$B$24,2,FALSE),""))</x:f>
      </x:c>
      <x:c r="E112" s="5" t="str">
        <x:f ca="1">IF($D112="","",IFERROR(INDEX(validation!$A$2:$A$24,MATCH($D112,validation!$B$2:$B$24,0)),""))</x:f>
      </x:c>
    </x:row>
    <x:row r="113" s="5" customFormat="1" ht="18" customHeight="1">
      <x:c r="D113" s="5" t="str">
        <x:f ca="1">IF($E113="","",IFERROR(VLOOKUP($E113,validation!$A$2:$B$24,2,FALSE),""))</x:f>
      </x:c>
      <x:c r="E113" s="5" t="str">
        <x:f ca="1">IF($D113="","",IFERROR(INDEX(validation!$A$2:$A$24,MATCH($D113,validation!$B$2:$B$24,0)),""))</x:f>
      </x:c>
    </x:row>
    <x:row r="114" s="5" customFormat="1" ht="18" customHeight="1">
      <x:c r="D114" s="5" t="str">
        <x:f ca="1">IF($E114="","",IFERROR(VLOOKUP($E114,validation!$A$2:$B$24,2,FALSE),""))</x:f>
      </x:c>
      <x:c r="E114" s="5" t="str">
        <x:f ca="1">IF($D114="","",IFERROR(INDEX(validation!$A$2:$A$24,MATCH($D114,validation!$B$2:$B$24,0)),""))</x:f>
      </x:c>
    </x:row>
    <x:row r="115" s="5" customFormat="1" ht="18" customHeight="1">
      <x:c r="D115" s="5" t="str">
        <x:f ca="1">IF($E115="","",IFERROR(VLOOKUP($E115,validation!$A$2:$B$24,2,FALSE),""))</x:f>
      </x:c>
      <x:c r="E115" s="5" t="str">
        <x:f ca="1">IF($D115="","",IFERROR(INDEX(validation!$A$2:$A$24,MATCH($D115,validation!$B$2:$B$24,0)),""))</x:f>
      </x:c>
    </x:row>
    <x:row r="116" s="5" customFormat="1" ht="18" customHeight="1">
      <x:c r="D116" s="5" t="str">
        <x:f ca="1">IF($E116="","",IFERROR(VLOOKUP($E116,validation!$A$2:$B$24,2,FALSE),""))</x:f>
      </x:c>
      <x:c r="E116" s="5" t="str">
        <x:f ca="1">IF($D116="","",IFERROR(INDEX(validation!$A$2:$A$24,MATCH($D116,validation!$B$2:$B$24,0)),""))</x:f>
      </x:c>
    </x:row>
    <x:row r="117" s="5" customFormat="1" ht="18" customHeight="1">
      <x:c r="D117" s="5" t="str">
        <x:f ca="1">IF($E117="","",IFERROR(VLOOKUP($E117,validation!$A$2:$B$24,2,FALSE),""))</x:f>
      </x:c>
      <x:c r="E117" s="5" t="str">
        <x:f ca="1">IF($D117="","",IFERROR(INDEX(validation!$A$2:$A$24,MATCH($D117,validation!$B$2:$B$24,0)),""))</x:f>
      </x:c>
    </x:row>
    <x:row r="118" s="5" customFormat="1" ht="18" customHeight="1">
      <x:c r="D118" s="5" t="str">
        <x:f ca="1">IF($E118="","",IFERROR(VLOOKUP($E118,validation!$A$2:$B$24,2,FALSE),""))</x:f>
      </x:c>
      <x:c r="E118" s="5" t="str">
        <x:f ca="1">IF($D118="","",IFERROR(INDEX(validation!$A$2:$A$24,MATCH($D118,validation!$B$2:$B$24,0)),""))</x:f>
      </x:c>
    </x:row>
    <x:row r="119" s="5" customFormat="1" ht="18" customHeight="1">
      <x:c r="D119" s="5" t="str">
        <x:f ca="1">IF($E119="","",IFERROR(VLOOKUP($E119,validation!$A$2:$B$24,2,FALSE),""))</x:f>
      </x:c>
      <x:c r="E119" s="5" t="str">
        <x:f ca="1">IF($D119="","",IFERROR(INDEX(validation!$A$2:$A$24,MATCH($D119,validation!$B$2:$B$24,0)),""))</x:f>
      </x:c>
    </x:row>
    <x:row r="120" s="5" customFormat="1" ht="18" customHeight="1">
      <x:c r="D120" s="5" t="str">
        <x:f ca="1">IF($E120="","",IFERROR(VLOOKUP($E120,validation!$A$2:$B$24,2,FALSE),""))</x:f>
      </x:c>
      <x:c r="E120" s="5" t="str">
        <x:f ca="1">IF($D120="","",IFERROR(INDEX(validation!$A$2:$A$24,MATCH($D120,validation!$B$2:$B$24,0)),""))</x:f>
      </x:c>
    </x:row>
    <x:row r="121" s="5" customFormat="1" ht="18" customHeight="1">
      <x:c r="D121" s="5" t="str">
        <x:f ca="1">IF($E121="","",IFERROR(VLOOKUP($E121,validation!$A$2:$B$24,2,FALSE),""))</x:f>
      </x:c>
      <x:c r="E121" s="5" t="str">
        <x:f ca="1">IF($D121="","",IFERROR(INDEX(validation!$A$2:$A$24,MATCH($D121,validation!$B$2:$B$24,0)),""))</x:f>
      </x:c>
    </x:row>
    <x:row r="122" s="5" customFormat="1" ht="18" customHeight="1">
      <x:c r="D122" s="5" t="str">
        <x:f ca="1">IF($E122="","",IFERROR(VLOOKUP($E122,validation!$A$2:$B$24,2,FALSE),""))</x:f>
      </x:c>
      <x:c r="E122" s="5" t="str">
        <x:f ca="1">IF($D122="","",IFERROR(INDEX(validation!$A$2:$A$24,MATCH($D122,validation!$B$2:$B$24,0)),""))</x:f>
      </x:c>
    </x:row>
    <x:row r="123" s="5" customFormat="1" ht="18" customHeight="1">
      <x:c r="D123" s="5" t="str">
        <x:f ca="1">IF($E123="","",IFERROR(VLOOKUP($E123,validation!$A$2:$B$24,2,FALSE),""))</x:f>
      </x:c>
      <x:c r="E123" s="5" t="str">
        <x:f ca="1">IF($D123="","",IFERROR(INDEX(validation!$A$2:$A$24,MATCH($D123,validation!$B$2:$B$24,0)),""))</x:f>
      </x:c>
    </x:row>
    <x:row r="124" s="5" customFormat="1" ht="18" customHeight="1">
      <x:c r="D124" s="5" t="str">
        <x:f ca="1">IF($E124="","",IFERROR(VLOOKUP($E124,validation!$A$2:$B$24,2,FALSE),""))</x:f>
      </x:c>
      <x:c r="E124" s="5" t="str">
        <x:f ca="1">IF($D124="","",IFERROR(INDEX(validation!$A$2:$A$24,MATCH($D124,validation!$B$2:$B$24,0)),""))</x:f>
      </x:c>
    </x:row>
    <x:row r="125" s="5" customFormat="1" ht="18" customHeight="1">
      <x:c r="D125" s="5" t="str">
        <x:f ca="1">IF($E125="","",IFERROR(VLOOKUP($E125,validation!$A$2:$B$24,2,FALSE),""))</x:f>
      </x:c>
      <x:c r="E125" s="5" t="str">
        <x:f ca="1">IF($D125="","",IFERROR(INDEX(validation!$A$2:$A$24,MATCH($D125,validation!$B$2:$B$24,0)),""))</x:f>
      </x:c>
    </x:row>
    <x:row r="126" s="5" customFormat="1" ht="18" customHeight="1">
      <x:c r="D126" s="5" t="str">
        <x:f ca="1">IF($E126="","",IFERROR(VLOOKUP($E126,validation!$A$2:$B$24,2,FALSE),""))</x:f>
      </x:c>
      <x:c r="E126" s="5" t="str">
        <x:f ca="1">IF($D126="","",IFERROR(INDEX(validation!$A$2:$A$24,MATCH($D126,validation!$B$2:$B$24,0)),""))</x:f>
      </x:c>
    </x:row>
    <x:row r="127" s="5" customFormat="1" ht="18" customHeight="1">
      <x:c r="D127" s="5" t="str">
        <x:f ca="1">IF($E127="","",IFERROR(VLOOKUP($E127,validation!$A$2:$B$24,2,FALSE),""))</x:f>
      </x:c>
      <x:c r="E127" s="5" t="str">
        <x:f ca="1">IF($D127="","",IFERROR(INDEX(validation!$A$2:$A$24,MATCH($D127,validation!$B$2:$B$24,0)),""))</x:f>
      </x:c>
    </x:row>
    <x:row r="128" s="5" customFormat="1" ht="18" customHeight="1">
      <x:c r="D128" s="5" t="str">
        <x:f ca="1">IF($E128="","",IFERROR(VLOOKUP($E128,validation!$A$2:$B$24,2,FALSE),""))</x:f>
      </x:c>
      <x:c r="E128" s="5" t="str">
        <x:f ca="1">IF($D128="","",IFERROR(INDEX(validation!$A$2:$A$24,MATCH($D128,validation!$B$2:$B$24,0)),""))</x:f>
      </x:c>
    </x:row>
    <x:row r="129" s="5" customFormat="1" ht="18" customHeight="1">
      <x:c r="D129" s="5" t="str">
        <x:f ca="1">IF($E129="","",IFERROR(VLOOKUP($E129,validation!$A$2:$B$24,2,FALSE),""))</x:f>
      </x:c>
      <x:c r="E129" s="5" t="str">
        <x:f ca="1">IF($D129="","",IFERROR(INDEX(validation!$A$2:$A$24,MATCH($D129,validation!$B$2:$B$24,0)),""))</x:f>
      </x:c>
    </x:row>
    <x:row r="130" s="5" customFormat="1" ht="18" customHeight="1">
      <x:c r="D130" s="5" t="str">
        <x:f ca="1">IF($E130="","",IFERROR(VLOOKUP($E130,validation!$A$2:$B$24,2,FALSE),""))</x:f>
      </x:c>
      <x:c r="E130" s="5" t="str">
        <x:f ca="1">IF($D130="","",IFERROR(INDEX(validation!$A$2:$A$24,MATCH($D130,validation!$B$2:$B$24,0)),""))</x:f>
      </x:c>
    </x:row>
    <x:row r="131" s="5" customFormat="1" ht="18" customHeight="1">
      <x:c r="D131" s="5" t="str">
        <x:f ca="1">IF($E131="","",IFERROR(VLOOKUP($E131,validation!$A$2:$B$24,2,FALSE),""))</x:f>
      </x:c>
      <x:c r="E131" s="5" t="str">
        <x:f ca="1">IF($D131="","",IFERROR(INDEX(validation!$A$2:$A$24,MATCH($D131,validation!$B$2:$B$24,0)),""))</x:f>
      </x:c>
    </x:row>
    <x:row r="132" s="5" customFormat="1" ht="18" customHeight="1">
      <x:c r="D132" s="5" t="str">
        <x:f ca="1">IF($E132="","",IFERROR(VLOOKUP($E132,validation!$A$2:$B$24,2,FALSE),""))</x:f>
      </x:c>
      <x:c r="E132" s="5" t="str">
        <x:f ca="1">IF($D132="","",IFERROR(INDEX(validation!$A$2:$A$24,MATCH($D132,validation!$B$2:$B$24,0)),""))</x:f>
      </x:c>
    </x:row>
    <x:row r="133" s="5" customFormat="1" ht="18" customHeight="1">
      <x:c r="D133" s="5" t="str">
        <x:f ca="1">IF($E133="","",IFERROR(VLOOKUP($E133,validation!$A$2:$B$24,2,FALSE),""))</x:f>
      </x:c>
      <x:c r="E133" s="5" t="str">
        <x:f ca="1">IF($D133="","",IFERROR(INDEX(validation!$A$2:$A$24,MATCH($D133,validation!$B$2:$B$24,0)),""))</x:f>
      </x:c>
    </x:row>
    <x:row r="134" s="5" customFormat="1" ht="18" customHeight="1">
      <x:c r="D134" s="5" t="str">
        <x:f ca="1">IF($E134="","",IFERROR(VLOOKUP($E134,validation!$A$2:$B$24,2,FALSE),""))</x:f>
      </x:c>
      <x:c r="E134" s="5" t="str">
        <x:f ca="1">IF($D134="","",IFERROR(INDEX(validation!$A$2:$A$24,MATCH($D134,validation!$B$2:$B$24,0)),""))</x:f>
      </x:c>
    </x:row>
    <x:row r="135" s="5" customFormat="1" ht="18" customHeight="1">
      <x:c r="D135" s="5" t="str">
        <x:f ca="1">IF($E135="","",IFERROR(VLOOKUP($E135,validation!$A$2:$B$24,2,FALSE),""))</x:f>
      </x:c>
      <x:c r="E135" s="5" t="str">
        <x:f ca="1">IF($D135="","",IFERROR(INDEX(validation!$A$2:$A$24,MATCH($D135,validation!$B$2:$B$24,0)),""))</x:f>
      </x:c>
    </x:row>
    <x:row r="136" s="5" customFormat="1" ht="18" customHeight="1">
      <x:c r="D136" s="5" t="str">
        <x:f ca="1">IF($E136="","",IFERROR(VLOOKUP($E136,validation!$A$2:$B$24,2,FALSE),""))</x:f>
      </x:c>
      <x:c r="E136" s="5" t="str">
        <x:f ca="1">IF($D136="","",IFERROR(INDEX(validation!$A$2:$A$24,MATCH($D136,validation!$B$2:$B$24,0)),""))</x:f>
      </x:c>
    </x:row>
    <x:row r="137" s="5" customFormat="1" ht="18" customHeight="1">
      <x:c r="D137" s="5" t="str">
        <x:f ca="1">IF($E137="","",IFERROR(VLOOKUP($E137,validation!$A$2:$B$24,2,FALSE),""))</x:f>
      </x:c>
      <x:c r="E137" s="5" t="str">
        <x:f ca="1">IF($D137="","",IFERROR(INDEX(validation!$A$2:$A$24,MATCH($D137,validation!$B$2:$B$24,0)),""))</x:f>
      </x:c>
    </x:row>
    <x:row r="138" s="5" customFormat="1" ht="18" customHeight="1">
      <x:c r="D138" s="5" t="str">
        <x:f ca="1">IF($E138="","",IFERROR(VLOOKUP($E138,validation!$A$2:$B$24,2,FALSE),""))</x:f>
      </x:c>
      <x:c r="E138" s="5" t="str">
        <x:f ca="1">IF($D138="","",IFERROR(INDEX(validation!$A$2:$A$24,MATCH($D138,validation!$B$2:$B$24,0)),""))</x:f>
      </x:c>
    </x:row>
    <x:row r="139" s="5" customFormat="1" ht="18" customHeight="1">
      <x:c r="D139" s="5" t="str">
        <x:f ca="1">IF($E139="","",IFERROR(VLOOKUP($E139,validation!$A$2:$B$24,2,FALSE),""))</x:f>
      </x:c>
      <x:c r="E139" s="5" t="str">
        <x:f ca="1">IF($D139="","",IFERROR(INDEX(validation!$A$2:$A$24,MATCH($D139,validation!$B$2:$B$24,0)),""))</x:f>
      </x:c>
    </x:row>
    <x:row r="140" s="5" customFormat="1" ht="18" customHeight="1">
      <x:c r="D140" s="5" t="str">
        <x:f ca="1">IF($E140="","",IFERROR(VLOOKUP($E140,validation!$A$2:$B$24,2,FALSE),""))</x:f>
      </x:c>
      <x:c r="E140" s="5" t="str">
        <x:f ca="1">IF($D140="","",IFERROR(INDEX(validation!$A$2:$A$24,MATCH($D140,validation!$B$2:$B$24,0)),""))</x:f>
      </x:c>
    </x:row>
    <x:row r="141" s="5" customFormat="1" ht="18" customHeight="1">
      <x:c r="D141" s="5" t="str">
        <x:f ca="1">IF($E141="","",IFERROR(VLOOKUP($E141,validation!$A$2:$B$24,2,FALSE),""))</x:f>
      </x:c>
      <x:c r="E141" s="5" t="str">
        <x:f ca="1">IF($D141="","",IFERROR(INDEX(validation!$A$2:$A$24,MATCH($D141,validation!$B$2:$B$24,0)),""))</x:f>
      </x:c>
    </x:row>
    <x:row r="142" s="5" customFormat="1" ht="18" customHeight="1">
      <x:c r="D142" s="5" t="str">
        <x:f ca="1">IF($E142="","",IFERROR(VLOOKUP($E142,validation!$A$2:$B$24,2,FALSE),""))</x:f>
      </x:c>
      <x:c r="E142" s="5" t="str">
        <x:f ca="1">IF($D142="","",IFERROR(INDEX(validation!$A$2:$A$24,MATCH($D142,validation!$B$2:$B$24,0)),""))</x:f>
      </x:c>
    </x:row>
    <x:row r="143" s="5" customFormat="1" ht="18" customHeight="1">
      <x:c r="D143" s="5" t="str">
        <x:f ca="1">IF($E143="","",IFERROR(VLOOKUP($E143,validation!$A$2:$B$24,2,FALSE),""))</x:f>
      </x:c>
      <x:c r="E143" s="5" t="str">
        <x:f ca="1">IF($D143="","",IFERROR(INDEX(validation!$A$2:$A$24,MATCH($D143,validation!$B$2:$B$24,0)),""))</x:f>
      </x:c>
    </x:row>
    <x:row r="144" s="5" customFormat="1" ht="18" customHeight="1">
      <x:c r="D144" s="5" t="str">
        <x:f ca="1">IF($E144="","",IFERROR(VLOOKUP($E144,validation!$A$2:$B$24,2,FALSE),""))</x:f>
      </x:c>
      <x:c r="E144" s="5" t="str">
        <x:f ca="1">IF($D144="","",IFERROR(INDEX(validation!$A$2:$A$24,MATCH($D144,validation!$B$2:$B$24,0)),""))</x:f>
      </x:c>
    </x:row>
    <x:row r="145" s="5" customFormat="1" ht="18" customHeight="1">
      <x:c r="D145" s="5" t="str">
        <x:f ca="1">IF($E145="","",IFERROR(VLOOKUP($E145,validation!$A$2:$B$24,2,FALSE),""))</x:f>
      </x:c>
      <x:c r="E145" s="5" t="str">
        <x:f ca="1">IF($D145="","",IFERROR(INDEX(validation!$A$2:$A$24,MATCH($D145,validation!$B$2:$B$24,0)),""))</x:f>
      </x:c>
    </x:row>
    <x:row r="146" s="5" customFormat="1" ht="18" customHeight="1">
      <x:c r="D146" s="5" t="str">
        <x:f ca="1">IF($E146="","",IFERROR(VLOOKUP($E146,validation!$A$2:$B$24,2,FALSE),""))</x:f>
      </x:c>
      <x:c r="E146" s="5" t="str">
        <x:f ca="1">IF($D146="","",IFERROR(INDEX(validation!$A$2:$A$24,MATCH($D146,validation!$B$2:$B$24,0)),""))</x:f>
      </x:c>
    </x:row>
    <x:row r="147" s="5" customFormat="1" ht="18" customHeight="1">
      <x:c r="D147" s="5" t="str">
        <x:f ca="1">IF($E147="","",IFERROR(VLOOKUP($E147,validation!$A$2:$B$24,2,FALSE),""))</x:f>
      </x:c>
      <x:c r="E147" s="5" t="str">
        <x:f ca="1">IF($D147="","",IFERROR(INDEX(validation!$A$2:$A$24,MATCH($D147,validation!$B$2:$B$24,0)),""))</x:f>
      </x:c>
    </x:row>
    <x:row r="148" s="5" customFormat="1" ht="18" customHeight="1">
      <x:c r="D148" s="5" t="str">
        <x:f ca="1">IF($E148="","",IFERROR(VLOOKUP($E148,validation!$A$2:$B$24,2,FALSE),""))</x:f>
      </x:c>
      <x:c r="E148" s="5" t="str">
        <x:f ca="1">IF($D148="","",IFERROR(INDEX(validation!$A$2:$A$24,MATCH($D148,validation!$B$2:$B$24,0)),""))</x:f>
      </x:c>
    </x:row>
    <x:row r="149" s="5" customFormat="1" ht="18" customHeight="1">
      <x:c r="D149" s="5" t="str">
        <x:f ca="1">IF($E149="","",IFERROR(VLOOKUP($E149,validation!$A$2:$B$24,2,FALSE),""))</x:f>
      </x:c>
      <x:c r="E149" s="5" t="str">
        <x:f ca="1">IF($D149="","",IFERROR(INDEX(validation!$A$2:$A$24,MATCH($D149,validation!$B$2:$B$24,0)),""))</x:f>
      </x:c>
    </x:row>
    <x:row r="150" s="5" customFormat="1" ht="18" customHeight="1">
      <x:c r="D150" s="5" t="str">
        <x:f ca="1">IF($E150="","",IFERROR(VLOOKUP($E150,validation!$A$2:$B$24,2,FALSE),""))</x:f>
      </x:c>
      <x:c r="E150" s="5" t="str">
        <x:f ca="1">IF($D150="","",IFERROR(INDEX(validation!$A$2:$A$24,MATCH($D150,validation!$B$2:$B$24,0)),""))</x:f>
      </x:c>
    </x:row>
    <x:row r="151" s="5" customFormat="1" ht="18" customHeight="1">
      <x:c r="D151" s="5" t="str">
        <x:f ca="1">IF($E151="","",IFERROR(VLOOKUP($E151,validation!$A$2:$B$24,2,FALSE),""))</x:f>
      </x:c>
      <x:c r="E151" s="5" t="str">
        <x:f ca="1">IF($D151="","",IFERROR(INDEX(validation!$A$2:$A$24,MATCH($D151,validation!$B$2:$B$24,0)),""))</x:f>
      </x:c>
    </x:row>
    <x:row r="152" s="5" customFormat="1" ht="18" customHeight="1">
      <x:c r="D152" s="5" t="str">
        <x:f ca="1">IF($E152="","",IFERROR(VLOOKUP($E152,validation!$A$2:$B$24,2,FALSE),""))</x:f>
      </x:c>
      <x:c r="E152" s="5" t="str">
        <x:f ca="1">IF($D152="","",IFERROR(INDEX(validation!$A$2:$A$24,MATCH($D152,validation!$B$2:$B$24,0)),""))</x:f>
      </x:c>
    </x:row>
    <x:row r="153" s="5" customFormat="1" ht="18" customHeight="1">
      <x:c r="D153" s="5" t="str">
        <x:f ca="1">IF($E153="","",IFERROR(VLOOKUP($E153,validation!$A$2:$B$24,2,FALSE),""))</x:f>
      </x:c>
      <x:c r="E153" s="5" t="str">
        <x:f ca="1">IF($D153="","",IFERROR(INDEX(validation!$A$2:$A$24,MATCH($D153,validation!$B$2:$B$24,0)),""))</x:f>
      </x:c>
    </x:row>
    <x:row r="154" s="5" customFormat="1" ht="18" customHeight="1">
      <x:c r="D154" s="5" t="str">
        <x:f ca="1">IF($E154="","",IFERROR(VLOOKUP($E154,validation!$A$2:$B$24,2,FALSE),""))</x:f>
      </x:c>
      <x:c r="E154" s="5" t="str">
        <x:f ca="1">IF($D154="","",IFERROR(INDEX(validation!$A$2:$A$24,MATCH($D154,validation!$B$2:$B$24,0)),""))</x:f>
      </x:c>
    </x:row>
    <x:row r="155" s="5" customFormat="1" ht="18" customHeight="1">
      <x:c r="D155" s="5" t="str">
        <x:f ca="1">IF($E155="","",IFERROR(VLOOKUP($E155,validation!$A$2:$B$24,2,FALSE),""))</x:f>
      </x:c>
      <x:c r="E155" s="5" t="str">
        <x:f ca="1">IF($D155="","",IFERROR(INDEX(validation!$A$2:$A$24,MATCH($D155,validation!$B$2:$B$24,0)),""))</x:f>
      </x:c>
    </x:row>
    <x:row r="156" s="5" customFormat="1" ht="18" customHeight="1">
      <x:c r="D156" s="5" t="str">
        <x:f ca="1">IF($E156="","",IFERROR(VLOOKUP($E156,validation!$A$2:$B$24,2,FALSE),""))</x:f>
      </x:c>
      <x:c r="E156" s="5" t="str">
        <x:f ca="1">IF($D156="","",IFERROR(INDEX(validation!$A$2:$A$24,MATCH($D156,validation!$B$2:$B$24,0)),""))</x:f>
      </x:c>
    </x:row>
    <x:row r="157" s="5" customFormat="1" ht="18" customHeight="1">
      <x:c r="D157" s="5" t="str">
        <x:f ca="1">IF($E157="","",IFERROR(VLOOKUP($E157,validation!$A$2:$B$24,2,FALSE),""))</x:f>
      </x:c>
      <x:c r="E157" s="5" t="str">
        <x:f ca="1">IF($D157="","",IFERROR(INDEX(validation!$A$2:$A$24,MATCH($D157,validation!$B$2:$B$24,0)),""))</x:f>
      </x:c>
    </x:row>
    <x:row r="158" s="5" customFormat="1" ht="18" customHeight="1">
      <x:c r="D158" s="5" t="str">
        <x:f ca="1">IF($E158="","",IFERROR(VLOOKUP($E158,validation!$A$2:$B$24,2,FALSE),""))</x:f>
      </x:c>
      <x:c r="E158" s="5" t="str">
        <x:f ca="1">IF($D158="","",IFERROR(INDEX(validation!$A$2:$A$24,MATCH($D158,validation!$B$2:$B$24,0)),""))</x:f>
      </x:c>
    </x:row>
    <x:row r="159" s="5" customFormat="1" ht="18" customHeight="1">
      <x:c r="D159" s="5" t="str">
        <x:f ca="1">IF($E159="","",IFERROR(VLOOKUP($E159,validation!$A$2:$B$24,2,FALSE),""))</x:f>
      </x:c>
      <x:c r="E159" s="5" t="str">
        <x:f ca="1">IF($D159="","",IFERROR(INDEX(validation!$A$2:$A$24,MATCH($D159,validation!$B$2:$B$24,0)),""))</x:f>
      </x:c>
    </x:row>
    <x:row r="160" s="5" customFormat="1" ht="18" customHeight="1">
      <x:c r="D160" s="5" t="str">
        <x:f ca="1">IF($E160="","",IFERROR(VLOOKUP($E160,validation!$A$2:$B$24,2,FALSE),""))</x:f>
      </x:c>
      <x:c r="E160" s="5" t="str">
        <x:f ca="1">IF($D160="","",IFERROR(INDEX(validation!$A$2:$A$24,MATCH($D160,validation!$B$2:$B$24,0)),""))</x:f>
      </x:c>
    </x:row>
    <x:row r="161" s="5" customFormat="1" ht="18" customHeight="1">
      <x:c r="D161" s="5" t="str">
        <x:f ca="1">IF($E161="","",IFERROR(VLOOKUP($E161,validation!$A$2:$B$24,2,FALSE),""))</x:f>
      </x:c>
      <x:c r="E161" s="5" t="str">
        <x:f ca="1">IF($D161="","",IFERROR(INDEX(validation!$A$2:$A$24,MATCH($D161,validation!$B$2:$B$24,0)),""))</x:f>
      </x:c>
    </x:row>
    <x:row r="162" s="5" customFormat="1" ht="18" customHeight="1">
      <x:c r="D162" s="5" t="str">
        <x:f ca="1">IF($E162="","",IFERROR(VLOOKUP($E162,validation!$A$2:$B$24,2,FALSE),""))</x:f>
      </x:c>
      <x:c r="E162" s="5" t="str">
        <x:f ca="1">IF($D162="","",IFERROR(INDEX(validation!$A$2:$A$24,MATCH($D162,validation!$B$2:$B$24,0)),""))</x:f>
      </x:c>
    </x:row>
    <x:row r="163" s="5" customFormat="1" ht="18" customHeight="1">
      <x:c r="D163" s="5" t="str">
        <x:f ca="1">IF($E163="","",IFERROR(VLOOKUP($E163,validation!$A$2:$B$24,2,FALSE),""))</x:f>
      </x:c>
      <x:c r="E163" s="5" t="str">
        <x:f ca="1">IF($D163="","",IFERROR(INDEX(validation!$A$2:$A$24,MATCH($D163,validation!$B$2:$B$24,0)),""))</x:f>
      </x:c>
    </x:row>
    <x:row r="164" s="5" customFormat="1" ht="18" customHeight="1">
      <x:c r="D164" s="5" t="str">
        <x:f ca="1">IF($E164="","",IFERROR(VLOOKUP($E164,validation!$A$2:$B$24,2,FALSE),""))</x:f>
      </x:c>
      <x:c r="E164" s="5" t="str">
        <x:f ca="1">IF($D164="","",IFERROR(INDEX(validation!$A$2:$A$24,MATCH($D164,validation!$B$2:$B$24,0)),""))</x:f>
      </x:c>
    </x:row>
    <x:row r="165" s="5" customFormat="1" ht="18" customHeight="1">
      <x:c r="D165" s="5" t="str">
        <x:f ca="1">IF($E165="","",IFERROR(VLOOKUP($E165,validation!$A$2:$B$24,2,FALSE),""))</x:f>
      </x:c>
      <x:c r="E165" s="5" t="str">
        <x:f ca="1">IF($D165="","",IFERROR(INDEX(validation!$A$2:$A$24,MATCH($D165,validation!$B$2:$B$24,0)),""))</x:f>
      </x:c>
    </x:row>
    <x:row r="166" s="5" customFormat="1" ht="18" customHeight="1">
      <x:c r="D166" s="5" t="str">
        <x:f ca="1">IF($E166="","",IFERROR(VLOOKUP($E166,validation!$A$2:$B$24,2,FALSE),""))</x:f>
      </x:c>
      <x:c r="E166" s="5" t="str">
        <x:f ca="1">IF($D166="","",IFERROR(INDEX(validation!$A$2:$A$24,MATCH($D166,validation!$B$2:$B$24,0)),""))</x:f>
      </x:c>
    </x:row>
    <x:row r="167" s="5" customFormat="1" ht="18" customHeight="1">
      <x:c r="D167" s="5" t="str">
        <x:f ca="1">IF($E167="","",IFERROR(VLOOKUP($E167,validation!$A$2:$B$24,2,FALSE),""))</x:f>
      </x:c>
      <x:c r="E167" s="5" t="str">
        <x:f ca="1">IF($D167="","",IFERROR(INDEX(validation!$A$2:$A$24,MATCH($D167,validation!$B$2:$B$24,0)),""))</x:f>
      </x:c>
    </x:row>
    <x:row r="168" s="5" customFormat="1" ht="18" customHeight="1">
      <x:c r="D168" s="5" t="str">
        <x:f ca="1">IF($E168="","",IFERROR(VLOOKUP($E168,validation!$A$2:$B$24,2,FALSE),""))</x:f>
      </x:c>
      <x:c r="E168" s="5" t="str">
        <x:f ca="1">IF($D168="","",IFERROR(INDEX(validation!$A$2:$A$24,MATCH($D168,validation!$B$2:$B$24,0)),""))</x:f>
      </x:c>
    </x:row>
    <x:row r="169" s="5" customFormat="1" ht="18" customHeight="1">
      <x:c r="D169" s="5" t="str">
        <x:f ca="1">IF($E169="","",IFERROR(VLOOKUP($E169,validation!$A$2:$B$24,2,FALSE),""))</x:f>
      </x:c>
      <x:c r="E169" s="5" t="str">
        <x:f ca="1">IF($D169="","",IFERROR(INDEX(validation!$A$2:$A$24,MATCH($D169,validation!$B$2:$B$24,0)),""))</x:f>
      </x:c>
    </x:row>
    <x:row r="170" s="5" customFormat="1" ht="18" customHeight="1">
      <x:c r="D170" s="5" t="str">
        <x:f ca="1">IF($E170="","",IFERROR(VLOOKUP($E170,validation!$A$2:$B$24,2,FALSE),""))</x:f>
      </x:c>
      <x:c r="E170" s="5" t="str">
        <x:f ca="1">IF($D170="","",IFERROR(INDEX(validation!$A$2:$A$24,MATCH($D170,validation!$B$2:$B$24,0)),""))</x:f>
      </x:c>
    </x:row>
    <x:row r="171" s="5" customFormat="1" ht="18" customHeight="1">
      <x:c r="D171" s="5" t="str">
        <x:f ca="1">IF($E171="","",IFERROR(VLOOKUP($E171,validation!$A$2:$B$24,2,FALSE),""))</x:f>
      </x:c>
      <x:c r="E171" s="5" t="str">
        <x:f ca="1">IF($D171="","",IFERROR(INDEX(validation!$A$2:$A$24,MATCH($D171,validation!$B$2:$B$24,0)),""))</x:f>
      </x:c>
    </x:row>
    <x:row r="172" s="5" customFormat="1" ht="18" customHeight="1">
      <x:c r="D172" s="5" t="str">
        <x:f ca="1">IF($E172="","",IFERROR(VLOOKUP($E172,validation!$A$2:$B$24,2,FALSE),""))</x:f>
      </x:c>
      <x:c r="E172" s="5" t="str">
        <x:f ca="1">IF($D172="","",IFERROR(INDEX(validation!$A$2:$A$24,MATCH($D172,validation!$B$2:$B$24,0)),""))</x:f>
      </x:c>
    </x:row>
    <x:row r="173" s="5" customFormat="1" ht="18" customHeight="1">
      <x:c r="D173" s="5" t="str">
        <x:f ca="1">IF($E173="","",IFERROR(VLOOKUP($E173,validation!$A$2:$B$24,2,FALSE),""))</x:f>
      </x:c>
      <x:c r="E173" s="5" t="str">
        <x:f ca="1">IF($D173="","",IFERROR(INDEX(validation!$A$2:$A$24,MATCH($D173,validation!$B$2:$B$24,0)),""))</x:f>
      </x:c>
    </x:row>
    <x:row r="174" s="5" customFormat="1" ht="18" customHeight="1">
      <x:c r="D174" s="5" t="str">
        <x:f ca="1">IF($E174="","",IFERROR(VLOOKUP($E174,validation!$A$2:$B$24,2,FALSE),""))</x:f>
      </x:c>
      <x:c r="E174" s="5" t="str">
        <x:f ca="1">IF($D174="","",IFERROR(INDEX(validation!$A$2:$A$24,MATCH($D174,validation!$B$2:$B$24,0)),""))</x:f>
      </x:c>
    </x:row>
    <x:row r="175" s="5" customFormat="1" ht="18" customHeight="1">
      <x:c r="D175" s="5" t="str">
        <x:f ca="1">IF($E175="","",IFERROR(VLOOKUP($E175,validation!$A$2:$B$24,2,FALSE),""))</x:f>
      </x:c>
      <x:c r="E175" s="5" t="str">
        <x:f ca="1">IF($D175="","",IFERROR(INDEX(validation!$A$2:$A$24,MATCH($D175,validation!$B$2:$B$24,0)),""))</x:f>
      </x:c>
    </x:row>
    <x:row r="176" s="5" customFormat="1" ht="18" customHeight="1">
      <x:c r="D176" s="5" t="str">
        <x:f ca="1">IF($E176="","",IFERROR(VLOOKUP($E176,validation!$A$2:$B$24,2,FALSE),""))</x:f>
      </x:c>
      <x:c r="E176" s="5" t="str">
        <x:f ca="1">IF($D176="","",IFERROR(INDEX(validation!$A$2:$A$24,MATCH($D176,validation!$B$2:$B$24,0)),""))</x:f>
      </x:c>
    </x:row>
    <x:row r="177" s="5" customFormat="1" ht="18" customHeight="1">
      <x:c r="D177" s="5" t="str">
        <x:f ca="1">IF($E177="","",IFERROR(VLOOKUP($E177,validation!$A$2:$B$24,2,FALSE),""))</x:f>
      </x:c>
      <x:c r="E177" s="5" t="str">
        <x:f ca="1">IF($D177="","",IFERROR(INDEX(validation!$A$2:$A$24,MATCH($D177,validation!$B$2:$B$24,0)),""))</x:f>
      </x:c>
    </x:row>
    <x:row r="178" s="5" customFormat="1" ht="18" customHeight="1">
      <x:c r="D178" s="5" t="str">
        <x:f ca="1">IF($E178="","",IFERROR(VLOOKUP($E178,validation!$A$2:$B$24,2,FALSE),""))</x:f>
      </x:c>
      <x:c r="E178" s="5" t="str">
        <x:f ca="1">IF($D178="","",IFERROR(INDEX(validation!$A$2:$A$24,MATCH($D178,validation!$B$2:$B$24,0)),""))</x:f>
      </x:c>
    </x:row>
    <x:row r="179" s="5" customFormat="1" ht="18" customHeight="1">
      <x:c r="D179" s="5" t="str">
        <x:f ca="1">IF($E179="","",IFERROR(VLOOKUP($E179,validation!$A$2:$B$24,2,FALSE),""))</x:f>
      </x:c>
      <x:c r="E179" s="5" t="str">
        <x:f ca="1">IF($D179="","",IFERROR(INDEX(validation!$A$2:$A$24,MATCH($D179,validation!$B$2:$B$24,0)),""))</x:f>
      </x:c>
    </x:row>
    <x:row r="180" s="5" customFormat="1" ht="18" customHeight="1">
      <x:c r="D180" s="5" t="str">
        <x:f ca="1">IF($E180="","",IFERROR(VLOOKUP($E180,validation!$A$2:$B$24,2,FALSE),""))</x:f>
      </x:c>
      <x:c r="E180" s="5" t="str">
        <x:f ca="1">IF($D180="","",IFERROR(INDEX(validation!$A$2:$A$24,MATCH($D180,validation!$B$2:$B$24,0)),""))</x:f>
      </x:c>
    </x:row>
    <x:row r="181" s="5" customFormat="1" ht="18" customHeight="1">
      <x:c r="D181" s="5" t="str">
        <x:f ca="1">IF($E181="","",IFERROR(VLOOKUP($E181,validation!$A$2:$B$24,2,FALSE),""))</x:f>
      </x:c>
      <x:c r="E181" s="5" t="str">
        <x:f ca="1">IF($D181="","",IFERROR(INDEX(validation!$A$2:$A$24,MATCH($D181,validation!$B$2:$B$24,0)),""))</x:f>
      </x:c>
    </x:row>
    <x:row r="182" s="5" customFormat="1" ht="18" customHeight="1">
      <x:c r="D182" s="5" t="str">
        <x:f ca="1">IF($E182="","",IFERROR(VLOOKUP($E182,validation!$A$2:$B$24,2,FALSE),""))</x:f>
      </x:c>
      <x:c r="E182" s="5" t="str">
        <x:f ca="1">IF($D182="","",IFERROR(INDEX(validation!$A$2:$A$24,MATCH($D182,validation!$B$2:$B$24,0)),""))</x:f>
      </x:c>
    </x:row>
    <x:row r="183" s="5" customFormat="1" ht="18" customHeight="1">
      <x:c r="D183" s="5" t="str">
        <x:f ca="1">IF($E183="","",IFERROR(VLOOKUP($E183,validation!$A$2:$B$24,2,FALSE),""))</x:f>
      </x:c>
      <x:c r="E183" s="5" t="str">
        <x:f ca="1">IF($D183="","",IFERROR(INDEX(validation!$A$2:$A$24,MATCH($D183,validation!$B$2:$B$24,0)),""))</x:f>
      </x:c>
    </x:row>
    <x:row r="184" s="5" customFormat="1" ht="18" customHeight="1">
      <x:c r="D184" s="5" t="str">
        <x:f ca="1">IF($E184="","",IFERROR(VLOOKUP($E184,validation!$A$2:$B$24,2,FALSE),""))</x:f>
      </x:c>
      <x:c r="E184" s="5" t="str">
        <x:f ca="1">IF($D184="","",IFERROR(INDEX(validation!$A$2:$A$24,MATCH($D184,validation!$B$2:$B$24,0)),""))</x:f>
      </x:c>
    </x:row>
    <x:row r="185" s="5" customFormat="1" ht="18" customHeight="1">
      <x:c r="D185" s="5" t="str">
        <x:f ca="1">IF($E185="","",IFERROR(VLOOKUP($E185,validation!$A$2:$B$24,2,FALSE),""))</x:f>
      </x:c>
      <x:c r="E185" s="5" t="str">
        <x:f ca="1">IF($D185="","",IFERROR(INDEX(validation!$A$2:$A$24,MATCH($D185,validation!$B$2:$B$24,0)),""))</x:f>
      </x:c>
    </x:row>
    <x:row r="186" s="5" customFormat="1" ht="18" customHeight="1">
      <x:c r="D186" s="5" t="str">
        <x:f ca="1">IF($E186="","",IFERROR(VLOOKUP($E186,validation!$A$2:$B$24,2,FALSE),""))</x:f>
      </x:c>
      <x:c r="E186" s="5" t="str">
        <x:f ca="1">IF($D186="","",IFERROR(INDEX(validation!$A$2:$A$24,MATCH($D186,validation!$B$2:$B$24,0)),""))</x:f>
      </x:c>
    </x:row>
    <x:row r="187" s="5" customFormat="1" ht="18" customHeight="1">
      <x:c r="D187" s="5" t="str">
        <x:f ca="1">IF($E187="","",IFERROR(VLOOKUP($E187,validation!$A$2:$B$24,2,FALSE),""))</x:f>
      </x:c>
      <x:c r="E187" s="5" t="str">
        <x:f ca="1">IF($D187="","",IFERROR(INDEX(validation!$A$2:$A$24,MATCH($D187,validation!$B$2:$B$24,0)),""))</x:f>
      </x:c>
    </x:row>
    <x:row r="188" s="5" customFormat="1" ht="18" customHeight="1">
      <x:c r="D188" s="5" t="str">
        <x:f ca="1">IF($E188="","",IFERROR(VLOOKUP($E188,validation!$A$2:$B$24,2,FALSE),""))</x:f>
      </x:c>
      <x:c r="E188" s="5" t="str">
        <x:f ca="1">IF($D188="","",IFERROR(INDEX(validation!$A$2:$A$24,MATCH($D188,validation!$B$2:$B$24,0)),""))</x:f>
      </x:c>
    </x:row>
    <x:row r="189" s="5" customFormat="1" ht="18" customHeight="1">
      <x:c r="D189" s="5" t="str">
        <x:f ca="1">IF($E189="","",IFERROR(VLOOKUP($E189,validation!$A$2:$B$24,2,FALSE),""))</x:f>
      </x:c>
      <x:c r="E189" s="5" t="str">
        <x:f ca="1">IF($D189="","",IFERROR(INDEX(validation!$A$2:$A$24,MATCH($D189,validation!$B$2:$B$24,0)),""))</x:f>
      </x:c>
    </x:row>
    <x:row r="190" s="5" customFormat="1" ht="18" customHeight="1">
      <x:c r="D190" s="5" t="str">
        <x:f ca="1">IF($E190="","",IFERROR(VLOOKUP($E190,validation!$A$2:$B$24,2,FALSE),""))</x:f>
      </x:c>
      <x:c r="E190" s="5" t="str">
        <x:f ca="1">IF($D190="","",IFERROR(INDEX(validation!$A$2:$A$24,MATCH($D190,validation!$B$2:$B$24,0)),""))</x:f>
      </x:c>
    </x:row>
    <x:row r="191" s="5" customFormat="1" ht="18" customHeight="1">
      <x:c r="D191" s="5" t="str">
        <x:f ca="1">IF($E191="","",IFERROR(VLOOKUP($E191,validation!$A$2:$B$24,2,FALSE),""))</x:f>
      </x:c>
      <x:c r="E191" s="5" t="str">
        <x:f ca="1">IF($D191="","",IFERROR(INDEX(validation!$A$2:$A$24,MATCH($D191,validation!$B$2:$B$24,0)),""))</x:f>
      </x:c>
    </x:row>
    <x:row r="192" s="5" customFormat="1" ht="18" customHeight="1">
      <x:c r="D192" s="5" t="str">
        <x:f ca="1">IF($E192="","",IFERROR(VLOOKUP($E192,validation!$A$2:$B$24,2,FALSE),""))</x:f>
      </x:c>
      <x:c r="E192" s="5" t="str">
        <x:f ca="1">IF($D192="","",IFERROR(INDEX(validation!$A$2:$A$24,MATCH($D192,validation!$B$2:$B$24,0)),""))</x:f>
      </x:c>
    </x:row>
    <x:row r="193" s="5" customFormat="1" ht="18" customHeight="1">
      <x:c r="D193" s="5" t="str">
        <x:f ca="1">IF($E193="","",IFERROR(VLOOKUP($E193,validation!$A$2:$B$24,2,FALSE),""))</x:f>
      </x:c>
      <x:c r="E193" s="5" t="str">
        <x:f ca="1">IF($D193="","",IFERROR(INDEX(validation!$A$2:$A$24,MATCH($D193,validation!$B$2:$B$24,0)),""))</x:f>
      </x:c>
    </x:row>
    <x:row r="194" s="5" customFormat="1" ht="18" customHeight="1">
      <x:c r="D194" s="5" t="str">
        <x:f ca="1">IF($E194="","",IFERROR(VLOOKUP($E194,validation!$A$2:$B$24,2,FALSE),""))</x:f>
      </x:c>
      <x:c r="E194" s="5" t="str">
        <x:f ca="1">IF($D194="","",IFERROR(INDEX(validation!$A$2:$A$24,MATCH($D194,validation!$B$2:$B$24,0)),""))</x:f>
      </x:c>
    </x:row>
    <x:row r="195" s="5" customFormat="1" ht="18" customHeight="1">
      <x:c r="D195" s="5" t="str">
        <x:f ca="1">IF($E195="","",IFERROR(VLOOKUP($E195,validation!$A$2:$B$24,2,FALSE),""))</x:f>
      </x:c>
      <x:c r="E195" s="5" t="str">
        <x:f ca="1">IF($D195="","",IFERROR(INDEX(validation!$A$2:$A$24,MATCH($D195,validation!$B$2:$B$24,0)),""))</x:f>
      </x:c>
    </x:row>
    <x:row r="196" s="5" customFormat="1" ht="18" customHeight="1">
      <x:c r="D196" s="5" t="str">
        <x:f ca="1">IF($E196="","",IFERROR(VLOOKUP($E196,validation!$A$2:$B$24,2,FALSE),""))</x:f>
      </x:c>
      <x:c r="E196" s="5" t="str">
        <x:f ca="1">IF($D196="","",IFERROR(INDEX(validation!$A$2:$A$24,MATCH($D196,validation!$B$2:$B$24,0)),""))</x:f>
      </x:c>
    </x:row>
    <x:row r="197" s="5" customFormat="1" ht="18" customHeight="1">
      <x:c r="D197" s="5" t="str">
        <x:f ca="1">IF($E197="","",IFERROR(VLOOKUP($E197,validation!$A$2:$B$24,2,FALSE),""))</x:f>
      </x:c>
      <x:c r="E197" s="5" t="str">
        <x:f ca="1">IF($D197="","",IFERROR(INDEX(validation!$A$2:$A$24,MATCH($D197,validation!$B$2:$B$24,0)),""))</x:f>
      </x:c>
    </x:row>
    <x:row r="198" s="5" customFormat="1" ht="18" customHeight="1">
      <x:c r="D198" s="5" t="str">
        <x:f ca="1">IF($E198="","",IFERROR(VLOOKUP($E198,validation!$A$2:$B$24,2,FALSE),""))</x:f>
      </x:c>
      <x:c r="E198" s="5" t="str">
        <x:f ca="1">IF($D198="","",IFERROR(INDEX(validation!$A$2:$A$24,MATCH($D198,validation!$B$2:$B$24,0)),""))</x:f>
      </x:c>
    </x:row>
    <x:row r="199" s="5" customFormat="1" ht="18" customHeight="1">
      <x:c r="D199" s="5" t="str">
        <x:f ca="1">IF($E199="","",IFERROR(VLOOKUP($E199,validation!$A$2:$B$24,2,FALSE),""))</x:f>
      </x:c>
      <x:c r="E199" s="5" t="str">
        <x:f ca="1">IF($D199="","",IFERROR(INDEX(validation!$A$2:$A$24,MATCH($D199,validation!$B$2:$B$24,0)),""))</x:f>
      </x:c>
    </x:row>
    <x:row r="200" s="5" customFormat="1" ht="18" customHeight="1">
      <x:c r="D200" s="5" t="str">
        <x:f ca="1">IF($E200="","",IFERROR(VLOOKUP($E200,validation!$A$2:$B$24,2,FALSE),""))</x:f>
      </x:c>
      <x:c r="E200" s="5" t="str">
        <x:f ca="1">IF($D200="","",IFERROR(INDEX(validation!$A$2:$A$24,MATCH($D200,validation!$B$2:$B$24,0)),""))</x:f>
      </x:c>
    </x:row>
  </x:sheetData>
  <x:dataValidations count="1">
    <x:dataValidation type="list" allowBlank="1" showInputMessage="1" showErrorMessage="1" sqref="F4:F200 A47">
      <x:formula1>"variant-centric,gene-centric"</x:formula1>
    </x:dataValidation>
  </x:dataValidations>
  <x:pageMargins left="0.7" right="0.7" top="0.75" bottom="0.75" header="0.3" footer="0.3"/>
</x:worksheet>
</file>

<file path=xl/worksheets/sheet4.xml><?xml version="1.0" encoding="utf-8"?>
<x:worksheet xmlns:x="http://schemas.openxmlformats.org/spreadsheetml/2006/main">
  <x:sheetFormatPr baseColWidth="10" defaultColWidth="8.83203125" defaultRowHeight="15"/>
  <x:sheetData>
    <x:row r="1">
      <x:c r="A1" t="s">
        <x:v>74</x:v>
      </x:c>
      <x:c r="B1" t="s">
        <x:v>73</x:v>
      </x:c>
    </x:row>
    <x:row r="2">
      <x:c r="A2" t="s">
        <x:v>142</x:v>
      </x:c>
      <x:c r="B2" t="s">
        <x:v>143</x:v>
      </x:c>
    </x:row>
    <x:row r="3">
      <x:c r="A3" t="s">
        <x:v>144</x:v>
      </x:c>
      <x:c r="B3" t="s">
        <x:v>145</x:v>
      </x:c>
    </x:row>
    <x:row r="4">
      <x:c r="A4" t="s">
        <x:v>146</x:v>
      </x:c>
      <x:c r="B4" t="s">
        <x:v>147</x:v>
      </x:c>
    </x:row>
    <x:row r="5">
      <x:c r="A5" t="s">
        <x:v>148</x:v>
      </x:c>
      <x:c r="B5" t="s">
        <x:v>139</x:v>
      </x:c>
    </x:row>
    <x:row r="6">
      <x:c r="A6" t="s">
        <x:v>149</x:v>
      </x:c>
      <x:c r="B6" t="s">
        <x:v>150</x:v>
      </x:c>
    </x:row>
    <x:row r="7">
      <x:c r="A7" t="s">
        <x:v>151</x:v>
      </x:c>
      <x:c r="B7" t="s">
        <x:v>152</x:v>
      </x:c>
    </x:row>
    <x:row r="8">
      <x:c r="A8" t="str">
        <x:v>FM</x:v>
      </x:c>
      <x:c r="B8" t="s">
        <x:v>96</x:v>
      </x:c>
    </x:row>
    <x:row r="9">
      <x:c r="A9" t="s">
        <x:v>153</x:v>
      </x:c>
      <x:c r="B9" t="s">
        <x:v>106</x:v>
      </x:c>
    </x:row>
    <x:row r="10">
      <x:c r="A10" t="s">
        <x:v>154</x:v>
      </x:c>
      <x:c r="B10" t="s">
        <x:v>126</x:v>
      </x:c>
    </x:row>
    <x:row r="11">
      <x:c r="A11" t="s">
        <x:v>155</x:v>
      </x:c>
      <x:c r="B11" t="s">
        <x:v>91</x:v>
      </x:c>
    </x:row>
    <x:row r="12">
      <x:c r="A12" t="s">
        <x:v>156</x:v>
      </x:c>
      <x:c r="B12" t="s">
        <x:v>157</x:v>
      </x:c>
    </x:row>
    <x:row r="13">
      <x:c r="A13" t="s">
        <x:v>158</x:v>
      </x:c>
      <x:c r="B13" t="s">
        <x:v>159</x:v>
      </x:c>
    </x:row>
    <x:row r="14">
      <x:c r="A14" t="s">
        <x:v>160</x:v>
      </x:c>
      <x:c r="B14" t="s">
        <x:v>161</x:v>
      </x:c>
    </x:row>
    <x:row r="15">
      <x:c r="A15" t="s">
        <x:v>162</x:v>
      </x:c>
      <x:c r="B15" t="s">
        <x:v>163</x:v>
      </x:c>
    </x:row>
    <x:row r="16">
      <x:c r="A16" t="s">
        <x:v>164</x:v>
      </x:c>
      <x:c r="B16" t="s">
        <x:v>165</x:v>
      </x:c>
    </x:row>
    <x:row r="17">
      <x:c r="A17" t="s">
        <x:v>166</x:v>
      </x:c>
      <x:c r="B17" t="s">
        <x:v>132</x:v>
      </x:c>
    </x:row>
    <x:row r="18">
      <x:c r="A18" t="s">
        <x:v>167</x:v>
      </x:c>
      <x:c r="B18" t="s">
        <x:v>121</x:v>
      </x:c>
    </x:row>
    <x:row r="19">
      <x:c r="A19" t="s">
        <x:v>168</x:v>
      </x:c>
      <x:c r="B19" t="s">
        <x:v>169</x:v>
      </x:c>
    </x:row>
    <x:row r="20">
      <x:c r="A20" t="s">
        <x:v>100</x:v>
      </x:c>
      <x:c r="B20" t="s">
        <x:v>102</x:v>
      </x:c>
    </x:row>
    <x:row r="21">
      <x:c r="A21" t="s">
        <x:v>84</x:v>
      </x:c>
      <x:c r="B21" t="s">
        <x:v>83</x:v>
      </x:c>
    </x:row>
    <x:row r="22">
      <x:c r="A22" t="s">
        <x:v>170</x:v>
      </x:c>
      <x:c r="B22" t="s">
        <x:v>171</x:v>
      </x:c>
    </x:row>
    <x:row r="23">
      <x:c r="A23" t="s">
        <x:v>172</x:v>
      </x:c>
      <x:c r="B23" t="s">
        <x:v>173</x:v>
      </x:c>
    </x:row>
    <x:row r="24">
      <x:c r="A24" t="s">
        <x:v>174</x:v>
      </x:c>
      <x:c r="B24" t="s">
        <x:v>175</x:v>
      </x:c>
    </x:row>
  </x:sheetData>
  <x:pageMargins left="0.7" right="0.7" top="0.75" bottom="0.75" header="0.3" footer="0.3"/>
</x:worksheet>
</file>

<file path=xl/worksheets/sheet5.xml><?xml version="1.0" encoding="utf-8"?>
<x:worksheet xmlns:x="http://schemas.openxmlformats.org/spreadsheetml/2006/main">
  <x:sheetFormatPr baseColWidth="10" defaultColWidth="8.83203125" defaultRowHeight="15"/>
  <x:cols>
    <x:col min="1" max="1" width="22.6640625" customWidth="1"/>
    <x:col min="2" max="2" width="15.6640625" customWidth="1"/>
    <x:col min="3" max="3" width="20.6640625" customWidth="1"/>
    <x:col min="4" max="4" width="21.6640625" customWidth="1"/>
    <x:col min="5" max="5" width="27.6640625" customWidth="1"/>
    <x:col min="6" max="6" width="23.6640625" customWidth="1"/>
    <x:col min="7" max="8" width="14.6640625" customWidth="1"/>
    <x:col min="9" max="9" width="17.6640625" customWidth="1"/>
  </x:cols>
  <x:sheetData>
    <x:row r="1" ht="42" customHeight="1">
      <x:c r="A1" s="1" t="s">
        <x:v>176</x:v>
      </x:c>
      <x:c r="B1" s="1" t="s">
        <x:v>60</x:v>
      </x:c>
      <x:c r="C1" s="1" t="s">
        <x:v>177</x:v>
      </x:c>
      <x:c r="D1" s="1" t="s">
        <x:v>178</x:v>
      </x:c>
      <x:c r="E1" s="1" t="s">
        <x:v>179</x:v>
      </x:c>
      <x:c r="F1" s="1" t="s">
        <x:v>180</x:v>
      </x:c>
      <x:c r="G1" s="1" t="s">
        <x:v>181</x:v>
      </x:c>
      <x:c r="H1" s="1" t="s">
        <x:v>68</x:v>
      </x:c>
      <x:c r="I1" s="1" t="s">
        <x:v>182</x:v>
      </x:c>
    </x:row>
    <x:row r="2" ht="22" customHeight="1">
      <x:c r="A2" s="2" t="s">
        <x:v>183</x:v>
      </x:c>
      <x:c r="B2" s="2" t="s">
        <x:v>70</x:v>
      </x:c>
      <x:c r="C2" s="2" t="s">
        <x:v>71</x:v>
      </x:c>
      <x:c r="D2" s="2" t="s">
        <x:v>184</x:v>
      </x:c>
      <x:c r="E2" s="3" t="s">
        <x:v>185</x:v>
      </x:c>
      <x:c r="F2" s="3" t="s">
        <x:v>186</x:v>
      </x:c>
      <x:c r="G2" s="2" t="s">
        <x:v>77</x:v>
      </x:c>
      <x:c r="H2" s="3" t="s">
        <x:v>78</x:v>
      </x:c>
      <x:c r="I2" s="3" t="s">
        <x:v>79</x:v>
      </x:c>
    </x:row>
    <x:row r="3" ht="36" customHeight="1">
      <x:c r="A3" s="4" t="s">
        <x:v>187</x:v>
      </x:c>
      <x:c r="B3" s="4" t="s">
        <x:v>188</x:v>
      </x:c>
      <x:c r="C3" s="4" t="s">
        <x:v>189</x:v>
      </x:c>
      <x:c r="D3" s="4" t="s">
        <x:v>190</x:v>
      </x:c>
      <x:c r="E3" s="4" t="s">
        <x:v>191</x:v>
      </x:c>
      <x:c r="F3" s="4" t="s">
        <x:v>192</x:v>
      </x:c>
      <x:c r="G3" s="4" t="s">
        <x:v>193</x:v>
      </x:c>
      <x:c r="H3" s="4" t="s">
        <x:v>194</x:v>
      </x:c>
      <x:c r="I3" s="4"/>
    </x:row>
    <x:row r="4" s="5" customFormat="1" ht="18" customHeight="1">
      <x:c r="A4" s="5" t="s">
        <x:v>187</x:v>
      </x:c>
      <x:c r="B4" s="5" t="s">
        <x:v>195</x:v>
      </x:c>
      <x:c r="C4" s="5" t="s">
        <x:v>196</x:v>
      </x:c>
      <x:c r="D4" s="5" t="b">
        <x:v>0</x:v>
      </x:c>
      <x:c r="E4" s="9"/>
      <x:c r="F4" s="9"/>
      <x:c r="G4" s="9" t="s">
        <x:v>193</x:v>
      </x:c>
      <x:c r="I4" s="5" t="s">
        <x:v>197</x:v>
      </x:c>
    </x:row>
    <x:row r="5" s="5" customFormat="1" ht="18" customHeight="1">
      <x:c r="A5" s="5" t="s">
        <x:v>187</x:v>
      </x:c>
      <x:c r="B5" s="5" t="s">
        <x:v>198</x:v>
      </x:c>
      <x:c r="C5" s="5" t="s">
        <x:v>199</x:v>
      </x:c>
      <x:c r="D5" s="5" t="b">
        <x:v>0</x:v>
      </x:c>
      <x:c r="E5" s="9"/>
      <x:c r="F5" s="9"/>
      <x:c r="G5" s="10" t="s">
        <x:v>193</x:v>
      </x:c>
    </x:row>
    <x:row r="6" s="5" customFormat="1" ht="18" customHeight="1">
      <x:c r="A6" s="5" t="s">
        <x:v>200</x:v>
      </x:c>
      <x:c r="B6" s="5" t="s">
        <x:v>201</x:v>
      </x:c>
      <x:c r="C6" s="5" t="s">
        <x:v>202</x:v>
      </x:c>
      <x:c r="D6" s="5" t="b">
        <x:v>1</x:v>
      </x:c>
      <x:c r="E6" s="10" t="s">
        <x:v>203</x:v>
      </x:c>
      <x:c r="F6" s="10" t="s">
        <x:v>187</x:v>
      </x:c>
      <x:c r="G6" s="10" t="s">
        <x:v>204</x:v>
      </x:c>
    </x:row>
    <x:row r="7" s="5" customFormat="1" ht="18" customHeight="1"/>
    <x:row r="8" s="5" customFormat="1" ht="18" customHeight="1"/>
    <x:row r="9" s="5" customFormat="1" ht="18" customHeight="1"/>
    <x:row r="10" s="5" customFormat="1" ht="18" customHeight="1"/>
    <x:row r="11" s="5" customFormat="1" ht="18" customHeight="1"/>
    <x:row r="12" s="5" customFormat="1" ht="18" customHeight="1"/>
    <x:row r="13" s="5" customFormat="1" ht="18" customHeight="1"/>
    <x:row r="14" s="5" customFormat="1" ht="18" customHeight="1"/>
    <x:row r="15" s="5" customFormat="1" ht="18" customHeight="1"/>
    <x:row r="16" s="5" customFormat="1" ht="18" customHeight="1"/>
    <x:row r="17" s="5" customFormat="1" ht="18" customHeight="1"/>
    <x:row r="18" s="5" customFormat="1" ht="18" customHeight="1"/>
    <x:row r="19" s="5" customFormat="1" ht="18" customHeight="1"/>
    <x:row r="20" s="5" customFormat="1" ht="18" customHeight="1"/>
    <x:row r="21" s="5" customFormat="1" ht="18" customHeight="1"/>
    <x:row r="22" s="5" customFormat="1" ht="18" customHeight="1"/>
    <x:row r="23" s="5" customFormat="1" ht="18" customHeight="1"/>
    <x:row r="24" s="5" customFormat="1" ht="18" customHeight="1"/>
    <x:row r="25" s="5" customFormat="1" ht="18" customHeight="1"/>
    <x:row r="26" s="5" customFormat="1" ht="18" customHeight="1"/>
    <x:row r="27" s="5" customFormat="1" ht="18" customHeight="1"/>
    <x:row r="28" s="5" customFormat="1" ht="18" customHeight="1"/>
    <x:row r="29" s="5" customFormat="1" ht="18" customHeight="1"/>
    <x:row r="30" s="5" customFormat="1" ht="18" customHeight="1"/>
    <x:row r="31" s="5" customFormat="1" ht="18" customHeight="1"/>
    <x:row r="32" s="5" customFormat="1" ht="18" customHeight="1"/>
    <x:row r="33" s="5" customFormat="1" ht="18" customHeight="1"/>
    <x:row r="34" s="5" customFormat="1" ht="18" customHeight="1"/>
    <x:row r="35" s="5" customFormat="1" ht="18" customHeight="1"/>
    <x:row r="36" s="5" customFormat="1" ht="18" customHeight="1"/>
    <x:row r="37" s="5" customFormat="1" ht="18" customHeight="1"/>
    <x:row r="38" s="5" customFormat="1" ht="18" customHeight="1"/>
    <x:row r="39" s="5" customFormat="1" ht="18" customHeight="1"/>
    <x:row r="40" s="5" customFormat="1" ht="18" customHeight="1"/>
    <x:row r="41" s="5" customFormat="1" ht="18" customHeight="1"/>
    <x:row r="42" s="5" customFormat="1" ht="18" customHeight="1"/>
    <x:row r="43" s="5" customFormat="1" ht="18" customHeight="1"/>
    <x:row r="44" s="5" customFormat="1" ht="18" customHeight="1"/>
    <x:row r="45" s="5" customFormat="1" ht="18" customHeight="1"/>
    <x:row r="46" s="5" customFormat="1" ht="18" customHeight="1"/>
    <x:row r="47" s="5" customFormat="1" ht="18" customHeight="1"/>
    <x:row r="48" s="5" customFormat="1" ht="18" customHeight="1"/>
    <x:row r="49" s="5" customFormat="1" ht="18" customHeight="1"/>
    <x:row r="50" s="5" customFormat="1" ht="18" customHeight="1"/>
    <x:row r="51" s="5" customFormat="1" ht="18" customHeight="1"/>
    <x:row r="52" s="5" customFormat="1" ht="18" customHeight="1"/>
    <x:row r="53" s="5" customFormat="1" ht="18" customHeight="1"/>
    <x:row r="54" s="5" customFormat="1" ht="18" customHeight="1"/>
    <x:row r="55" s="5" customFormat="1" ht="18" customHeight="1"/>
    <x:row r="56" s="5" customFormat="1" ht="18" customHeight="1"/>
    <x:row r="57" s="5" customFormat="1" ht="18" customHeight="1"/>
    <x:row r="58" s="5" customFormat="1" ht="18" customHeight="1"/>
    <x:row r="59" s="5" customFormat="1" ht="18" customHeight="1"/>
    <x:row r="60" s="5" customFormat="1" ht="18" customHeight="1"/>
    <x:row r="61" s="5" customFormat="1" ht="18" customHeight="1"/>
    <x:row r="62" s="5" customFormat="1" ht="18" customHeight="1"/>
    <x:row r="63" s="5" customFormat="1" ht="18" customHeight="1"/>
    <x:row r="64" s="5" customFormat="1" ht="18" customHeight="1"/>
    <x:row r="65" s="5" customFormat="1" ht="18" customHeight="1"/>
    <x:row r="66" s="5" customFormat="1" ht="18" customHeight="1"/>
    <x:row r="67" s="5" customFormat="1" ht="18" customHeight="1"/>
    <x:row r="68" s="5" customFormat="1" ht="18" customHeight="1"/>
    <x:row r="69" s="5" customFormat="1" ht="18" customHeight="1"/>
    <x:row r="70" s="5" customFormat="1" ht="18" customHeight="1"/>
    <x:row r="71" s="5" customFormat="1" ht="18" customHeight="1"/>
    <x:row r="72" s="5" customFormat="1" ht="18" customHeight="1"/>
    <x:row r="73" s="5" customFormat="1" ht="18" customHeight="1"/>
    <x:row r="74" s="5" customFormat="1" ht="18" customHeight="1"/>
    <x:row r="75" s="5" customFormat="1" ht="18" customHeight="1"/>
    <x:row r="76" s="5" customFormat="1" ht="18" customHeight="1"/>
    <x:row r="77" s="5" customFormat="1" ht="18" customHeight="1"/>
    <x:row r="78" s="5" customFormat="1" ht="18" customHeight="1"/>
    <x:row r="79" s="5" customFormat="1" ht="18" customHeight="1"/>
    <x:row r="80" s="5" customFormat="1" ht="18" customHeight="1"/>
    <x:row r="81" s="5" customFormat="1" ht="18" customHeight="1"/>
    <x:row r="82" s="5" customFormat="1" ht="18" customHeight="1"/>
    <x:row r="83" s="5" customFormat="1" ht="18" customHeight="1"/>
    <x:row r="84" s="5" customFormat="1" ht="18" customHeight="1"/>
    <x:row r="85" s="5" customFormat="1" ht="18" customHeight="1"/>
    <x:row r="86" s="5" customFormat="1" ht="18" customHeight="1"/>
    <x:row r="87" s="5" customFormat="1" ht="18" customHeight="1"/>
    <x:row r="88" s="5" customFormat="1" ht="18" customHeight="1"/>
    <x:row r="89" s="5" customFormat="1" ht="18" customHeight="1"/>
    <x:row r="90" s="5" customFormat="1" ht="18" customHeight="1"/>
    <x:row r="91" s="5" customFormat="1" ht="18" customHeight="1"/>
    <x:row r="92" s="5" customFormat="1" ht="18" customHeight="1"/>
    <x:row r="93" s="5" customFormat="1" ht="18" customHeight="1"/>
    <x:row r="94" s="5" customFormat="1" ht="18" customHeight="1"/>
    <x:row r="95" s="5" customFormat="1" ht="18" customHeight="1"/>
    <x:row r="96" s="5" customFormat="1" ht="18" customHeight="1"/>
    <x:row r="97" s="5" customFormat="1" ht="18" customHeight="1"/>
    <x:row r="98" s="5" customFormat="1" ht="18" customHeight="1"/>
    <x:row r="99" s="5" customFormat="1" ht="18" customHeight="1"/>
    <x:row r="100" s="5" customFormat="1" ht="18" customHeight="1"/>
    <x:row r="101" s="5" customFormat="1" ht="18" customHeight="1"/>
    <x:row r="102" s="5" customFormat="1" ht="18" customHeight="1"/>
    <x:row r="103" s="5" customFormat="1" ht="18" customHeight="1"/>
    <x:row r="104" s="5" customFormat="1" ht="18" customHeight="1"/>
    <x:row r="105" s="5" customFormat="1" ht="18" customHeight="1"/>
    <x:row r="106" s="5" customFormat="1" ht="18" customHeight="1"/>
    <x:row r="107" s="5" customFormat="1" ht="18" customHeight="1"/>
    <x:row r="108" s="5" customFormat="1" ht="18" customHeight="1"/>
    <x:row r="109" s="5" customFormat="1" ht="18" customHeight="1"/>
    <x:row r="110" s="5" customFormat="1" ht="18" customHeight="1"/>
    <x:row r="111" s="5" customFormat="1" ht="18" customHeight="1"/>
    <x:row r="112" s="5" customFormat="1" ht="18" customHeight="1"/>
    <x:row r="113" s="5" customFormat="1" ht="18" customHeight="1"/>
    <x:row r="114" s="5" customFormat="1" ht="18" customHeight="1"/>
    <x:row r="115" s="5" customFormat="1" ht="18" customHeight="1"/>
    <x:row r="116" s="5" customFormat="1" ht="18" customHeight="1"/>
    <x:row r="117" s="5" customFormat="1" ht="18" customHeight="1"/>
    <x:row r="118" s="5" customFormat="1" ht="18" customHeight="1"/>
    <x:row r="119" s="5" customFormat="1" ht="18" customHeight="1"/>
    <x:row r="120" s="5" customFormat="1" ht="18" customHeight="1"/>
    <x:row r="121" s="5" customFormat="1" ht="18" customHeight="1"/>
    <x:row r="122" s="5" customFormat="1" ht="18" customHeight="1"/>
    <x:row r="123" s="5" customFormat="1" ht="18" customHeight="1"/>
    <x:row r="124" s="5" customFormat="1" ht="18" customHeight="1"/>
    <x:row r="125" s="5" customFormat="1" ht="18" customHeight="1"/>
    <x:row r="126" s="5" customFormat="1" ht="18" customHeight="1"/>
    <x:row r="127" s="5" customFormat="1" ht="18" customHeight="1"/>
    <x:row r="128" s="5" customFormat="1" ht="18" customHeight="1"/>
    <x:row r="129" s="5" customFormat="1" ht="18" customHeight="1"/>
    <x:row r="130" s="5" customFormat="1" ht="18" customHeight="1"/>
    <x:row r="131" s="5" customFormat="1" ht="18" customHeight="1"/>
    <x:row r="132" s="5" customFormat="1" ht="18" customHeight="1"/>
    <x:row r="133" s="5" customFormat="1" ht="18" customHeight="1"/>
    <x:row r="134" s="5" customFormat="1" ht="18" customHeight="1"/>
    <x:row r="135" s="5" customFormat="1" ht="18" customHeight="1"/>
    <x:row r="136" s="5" customFormat="1" ht="18" customHeight="1"/>
    <x:row r="137" s="5" customFormat="1" ht="18" customHeight="1"/>
    <x:row r="138" s="5" customFormat="1" ht="18" customHeight="1"/>
    <x:row r="139" s="5" customFormat="1" ht="18" customHeight="1"/>
    <x:row r="140" s="5" customFormat="1" ht="18" customHeight="1"/>
    <x:row r="141" s="5" customFormat="1" ht="18" customHeight="1"/>
    <x:row r="142" s="5" customFormat="1" ht="18" customHeight="1"/>
    <x:row r="143" s="5" customFormat="1" ht="18" customHeight="1"/>
    <x:row r="144" s="5" customFormat="1" ht="18" customHeight="1"/>
    <x:row r="145" s="5" customFormat="1" ht="18" customHeight="1"/>
    <x:row r="146" s="5" customFormat="1" ht="18" customHeight="1"/>
    <x:row r="147" s="5" customFormat="1" ht="18" customHeight="1"/>
    <x:row r="148" s="5" customFormat="1" ht="18" customHeight="1"/>
    <x:row r="149" s="5" customFormat="1" ht="18" customHeight="1"/>
    <x:row r="150" s="5" customFormat="1" ht="18" customHeight="1"/>
    <x:row r="151" s="5" customFormat="1" ht="18" customHeight="1"/>
    <x:row r="152" s="5" customFormat="1" ht="18" customHeight="1"/>
    <x:row r="153" s="5" customFormat="1" ht="18" customHeight="1"/>
    <x:row r="154" s="5" customFormat="1" ht="18" customHeight="1"/>
    <x:row r="155" s="5" customFormat="1" ht="18" customHeight="1"/>
    <x:row r="156" s="5" customFormat="1" ht="18" customHeight="1"/>
    <x:row r="157" s="5" customFormat="1" ht="18" customHeight="1"/>
    <x:row r="158" s="5" customFormat="1" ht="18" customHeight="1"/>
    <x:row r="159" s="5" customFormat="1" ht="18" customHeight="1"/>
    <x:row r="160" s="5" customFormat="1" ht="18" customHeight="1"/>
    <x:row r="161" s="5" customFormat="1" ht="18" customHeight="1"/>
    <x:row r="162" s="5" customFormat="1" ht="18" customHeight="1"/>
    <x:row r="163" s="5" customFormat="1" ht="18" customHeight="1"/>
    <x:row r="164" s="5" customFormat="1" ht="18" customHeight="1"/>
    <x:row r="165" s="5" customFormat="1" ht="18" customHeight="1"/>
    <x:row r="166" s="5" customFormat="1" ht="18" customHeight="1"/>
    <x:row r="167" s="5" customFormat="1" ht="18" customHeight="1"/>
    <x:row r="168" s="5" customFormat="1" ht="18" customHeight="1"/>
    <x:row r="169" s="5" customFormat="1" ht="18" customHeight="1"/>
    <x:row r="170" s="5" customFormat="1" ht="18" customHeight="1"/>
    <x:row r="171" s="5" customFormat="1" ht="18" customHeight="1"/>
    <x:row r="172" s="5" customFormat="1" ht="18" customHeight="1"/>
    <x:row r="173" s="5" customFormat="1" ht="18" customHeight="1"/>
    <x:row r="174" s="5" customFormat="1" ht="18" customHeight="1"/>
    <x:row r="175" s="5" customFormat="1" ht="18" customHeight="1"/>
    <x:row r="176" s="5" customFormat="1" ht="18" customHeight="1"/>
    <x:row r="177" s="5" customFormat="1" ht="18" customHeight="1"/>
    <x:row r="178" s="5" customFormat="1" ht="18" customHeight="1"/>
    <x:row r="179" s="5" customFormat="1" ht="18" customHeight="1"/>
    <x:row r="180" s="5" customFormat="1" ht="18" customHeight="1"/>
    <x:row r="181" s="5" customFormat="1" ht="18" customHeight="1"/>
    <x:row r="182" s="5" customFormat="1" ht="18" customHeight="1"/>
    <x:row r="183" s="5" customFormat="1" ht="18" customHeight="1"/>
    <x:row r="184" s="5" customFormat="1" ht="18" customHeight="1"/>
    <x:row r="185" s="5" customFormat="1" ht="18" customHeight="1"/>
    <x:row r="186" s="5" customFormat="1" ht="18" customHeight="1"/>
    <x:row r="187" s="5" customFormat="1" ht="18" customHeight="1"/>
    <x:row r="188" s="5" customFormat="1" ht="18" customHeight="1"/>
    <x:row r="189" s="5" customFormat="1" ht="18" customHeight="1"/>
    <x:row r="190" s="5" customFormat="1" ht="18" customHeight="1"/>
    <x:row r="191" s="5" customFormat="1" ht="18" customHeight="1"/>
    <x:row r="192" s="5" customFormat="1" ht="18" customHeight="1"/>
    <x:row r="193" s="5" customFormat="1" ht="18" customHeight="1"/>
    <x:row r="194" s="5" customFormat="1" ht="18" customHeight="1"/>
    <x:row r="195" s="5" customFormat="1" ht="18" customHeight="1"/>
    <x:row r="196" s="5" customFormat="1" ht="18" customHeight="1"/>
    <x:row r="197" s="5" customFormat="1" ht="18" customHeight="1"/>
    <x:row r="198" s="5" customFormat="1" ht="18" customHeight="1"/>
    <x:row r="199" s="5" customFormat="1" ht="18" customHeight="1"/>
    <x:row r="200" s="5" customFormat="1" ht="18" customHeight="1"/>
  </x:sheetData>
  <x:dataValidations count="1">
    <x:dataValidation type="list" allowBlank="1" showInputMessage="1" showErrorMessage="1" sqref="D4:D200">
      <x:formula1>"TRUE,FALSE"</x:formula1>
    </x:dataValidation>
  </x:dataValidations>
  <x:pageMargins left="0.7" right="0.7" top="0.75" bottom="0.75" header="0.3" footer="0.3"/>
</x:worksheet>
</file>

<file path=xl/worksheets/sheet6.xml><?xml version="1.0" encoding="utf-8"?>
<x:worksheet xmlns:x="http://schemas.openxmlformats.org/spreadsheetml/2006/main">
  <x:sheetFormatPr baseColWidth="10" defaultColWidth="8.83203125" defaultRowHeight="15"/>
  <x:cols>
    <x:col min="1" max="1" width="21.6640625" customWidth="1"/>
    <x:col min="2" max="2" width="14.6640625" customWidth="1"/>
    <x:col min="3" max="3" width="24.6640625" customWidth="1"/>
    <x:col min="4" max="4" width="14.6640625" customWidth="1"/>
    <x:col min="5" max="5" width="24.6640625" customWidth="1"/>
    <x:col min="6" max="6" width="14.6640625" customWidth="1"/>
    <x:col min="7" max="7" width="24.6640625" customWidth="1"/>
    <x:col min="8" max="8" width="18.6640625" customWidth="1"/>
    <x:col min="9" max="9" width="14.6640625" customWidth="1"/>
    <x:col min="10" max="10" width="25.6640625" customWidth="1"/>
    <x:col min="11" max="11" width="14.6640625" customWidth="1"/>
    <x:col min="12" max="12" width="28.6640625" customWidth="1"/>
    <x:col min="13" max="13" width="15.6640625" customWidth="1"/>
    <x:col min="14" max="14" width="14.6640625" customWidth="1"/>
    <x:col min="15" max="15" width="15.6640625" customWidth="1"/>
    <x:col min="16" max="16" width="36.6640625" customWidth="1"/>
    <x:col min="17" max="17" width="15.6640625" customWidth="1"/>
    <x:col min="18" max="18" width="14.6640625" customWidth="1"/>
    <x:col min="19" max="19" width="22.6640625" customWidth="1"/>
    <x:col min="20" max="20" width="14.6640625" customWidth="1"/>
    <x:col min="21" max="21" width="27.6640625" customWidth="1"/>
    <x:col min="22" max="22" width="17.6640625" customWidth="1"/>
  </x:cols>
  <x:sheetData>
    <x:row r="1" ht="42" customHeight="1">
      <x:c r="A1" s="1" t="s">
        <x:v>205</x:v>
      </x:c>
      <x:c r="B1" s="1" t="s">
        <x:v>206</x:v>
      </x:c>
      <x:c r="C1" s="1" t="s">
        <x:v>207</x:v>
      </x:c>
      <x:c r="D1" s="1" t="s">
        <x:v>208</x:v>
      </x:c>
      <x:c r="E1" s="1" t="s">
        <x:v>209</x:v>
      </x:c>
      <x:c r="F1" s="1" t="s">
        <x:v>210</x:v>
      </x:c>
      <x:c r="G1" s="1" t="s">
        <x:v>211</x:v>
      </x:c>
      <x:c r="H1" s="1" t="s">
        <x:v>212</x:v>
      </x:c>
      <x:c r="I1" s="1" t="s">
        <x:v>213</x:v>
      </x:c>
      <x:c r="J1" s="1" t="s">
        <x:v>214</x:v>
      </x:c>
      <x:c r="K1" s="1" t="s">
        <x:v>215</x:v>
      </x:c>
      <x:c r="L1" s="1" t="s">
        <x:v>216</x:v>
      </x:c>
      <x:c r="M1" s="1" t="s">
        <x:v>217</x:v>
      </x:c>
      <x:c r="N1" s="1" t="s">
        <x:v>218</x:v>
      </x:c>
      <x:c r="O1" s="1" t="s">
        <x:v>219</x:v>
      </x:c>
      <x:c r="P1" s="1" t="s">
        <x:v>220</x:v>
      </x:c>
      <x:c r="Q1" s="1" t="s">
        <x:v>221</x:v>
      </x:c>
      <x:c r="R1" s="1" t="s">
        <x:v>222</x:v>
      </x:c>
    </x:row>
    <x:row r="2" ht="22" customHeight="1">
      <x:c r="A2" s="2" t="s">
        <x:v>76</x:v>
      </x:c>
      <x:c r="B2" s="3" t="s">
        <x:v>223</x:v>
      </x:c>
      <x:c r="C2" s="3" t="s">
        <x:v>224</x:v>
      </x:c>
      <x:c r="D2" s="3" t="s">
        <x:v>225</x:v>
      </x:c>
      <x:c r="E2" s="3" t="s">
        <x:v>226</x:v>
      </x:c>
      <x:c r="F2" s="3" t="s">
        <x:v>227</x:v>
      </x:c>
      <x:c r="G2" s="3" t="s">
        <x:v>228</x:v>
      </x:c>
      <x:c r="H2" s="3" t="s">
        <x:v>79</x:v>
      </x:c>
      <x:c r="I2" s="3" t="s">
        <x:v>229</x:v>
      </x:c>
      <x:c r="J2" s="3" t="s">
        <x:v>230</x:v>
      </x:c>
      <x:c r="K2" s="3" t="s">
        <x:v>231</x:v>
      </x:c>
      <x:c r="L2" s="3" t="s">
        <x:v>232</x:v>
      </x:c>
      <x:c r="M2" s="3" t="s">
        <x:v>233</x:v>
      </x:c>
      <x:c r="N2" s="3" t="s">
        <x:v>234</x:v>
      </x:c>
      <x:c r="O2" s="3" t="s">
        <x:v>235</x:v>
      </x:c>
      <x:c r="P2" s="3" t="s">
        <x:v>236</x:v>
      </x:c>
      <x:c r="Q2" s="3" t="s">
        <x:v>237</x:v>
      </x:c>
      <x:c r="R2" s="3" t="s">
        <x:v>238</x:v>
      </x:c>
    </x:row>
    <x:row r="3" ht="36" customHeight="1">
      <x:c r="A3" s="4" t="s">
        <x:v>86</x:v>
      </x:c>
      <x:c r="B3" s="4" t="s">
        <x:v>239</x:v>
      </x:c>
      <x:c r="C3" s="4" t="s">
        <x:v>240</x:v>
      </x:c>
      <x:c r="D3" s="4" t="s">
        <x:v>241</x:v>
      </x:c>
      <x:c r="E3" s="4" t="s">
        <x:v>242</x:v>
      </x:c>
      <x:c r="F3" s="4" t="s">
        <x:v>243</x:v>
      </x:c>
      <x:c r="G3" s="4" t="s">
        <x:v>244</x:v>
      </x:c>
      <x:c r="H3" s="4" t="s">
        <x:v>245</x:v>
      </x:c>
      <x:c r="I3" s="4" t="s">
        <x:v>246</x:v>
      </x:c>
      <x:c r="J3" s="4" t="s">
        <x:v>247</x:v>
      </x:c>
      <x:c r="K3" s="4" t="s">
        <x:v>248</x:v>
      </x:c>
      <x:c r="L3" s="4" t="s">
        <x:v>249</x:v>
      </x:c>
      <x:c r="M3" s="4" t="s">
        <x:v>250</x:v>
      </x:c>
      <x:c r="N3" s="4" t="s">
        <x:v>251</x:v>
      </x:c>
      <x:c r="O3" s="4" t="s">
        <x:v>252</x:v>
      </x:c>
      <x:c r="P3" s="4" t="s">
        <x:v>253</x:v>
      </x:c>
      <x:c r="Q3" s="4" t="s">
        <x:v>254</x:v>
      </x:c>
      <x:c r="R3" s="4" t="s">
        <x:v>255</x:v>
      </x:c>
    </x:row>
    <x:row r="4" s="5" customFormat="1" ht="18" customHeight="1">
      <x:c r="A4" t="s">
        <x:v>111</x:v>
      </x:c>
      <x:c r="B4" t="s">
        <x:v>239</x:v>
      </x:c>
      <x:c r="D4" t="s">
        <x:v>256</x:v>
      </x:c>
      <x:c r="E4" t="s">
        <x:v>257</x:v>
      </x:c>
      <x:c r="I4" t="s">
        <x:v>253</x:v>
      </x:c>
      <x:c r="J4" t="s">
        <x:v>258</x:v>
      </x:c>
      <x:c r="K4" t="s">
        <x:v>253</x:v>
      </x:c>
      <x:c r="N4" t="s">
        <x:v>251</x:v>
      </x:c>
      <x:c r="P4" t="s">
        <x:v>253</x:v>
      </x:c>
      <x:c r="Q4" t="s">
        <x:v>254</x:v>
      </x:c>
    </x:row>
    <x:row r="5" s="5" customFormat="1" ht="18" customHeight="1">
      <x:c r="A5" t="s">
        <x:v>122</x:v>
      </x:c>
      <x:c r="B5" t="s">
        <x:v>259</x:v>
      </x:c>
      <x:c r="G5" t="s">
        <x:v>260</x:v>
      </x:c>
      <x:c r="R5" t="s">
        <x:v>261</x:v>
      </x:c>
    </x:row>
    <x:row r="6" s="5" customFormat="1" ht="18" customHeight="1">
      <x:c r="A6" s="8" t="s">
        <x:v>133</x:v>
      </x:c>
      <x:c r="B6" t="s">
        <x:v>262</x:v>
      </x:c>
      <x:c r="D6">
        <x:v>10.1</x:v>
      </x:c>
      <x:c r="E6" s="11" t="s">
        <x:v>263</x:v>
      </x:c>
    </x:row>
    <x:row r="7" s="5" customFormat="1" ht="18" customHeight="1">
      <x:c r="A7" s="8" t="s">
        <x:v>133</x:v>
      </x:c>
      <x:c r="B7" t="s">
        <x:v>264</x:v>
      </x:c>
      <x:c r="D7">
        <x:v>2019</x:v>
      </x:c>
      <x:c r="E7" s="11" t="s">
        <x:v>265</x:v>
      </x:c>
    </x:row>
    <x:row r="8" s="5" customFormat="1" ht="18" customHeight="1">
      <x:c r="A8" s="8" t="s">
        <x:v>140</x:v>
      </x:c>
      <x:c r="B8" t="s">
        <x:v>266</x:v>
      </x:c>
      <x:c r="D8">
        <x:v>44008</x:v>
      </x:c>
      <x:c r="E8" t="s">
        <x:v>267</x:v>
      </x:c>
    </x:row>
    <x:row r="9" s="5" customFormat="1" ht="18" customHeight="1"/>
    <x:row r="10" s="5" customFormat="1" ht="18" customHeight="1"/>
    <x:row r="11" s="5" customFormat="1" ht="18" customHeight="1"/>
    <x:row r="12" s="5" customFormat="1" ht="18" customHeight="1"/>
    <x:row r="13" s="5" customFormat="1" ht="18" customHeight="1"/>
    <x:row r="14" s="5" customFormat="1" ht="18" customHeight="1"/>
    <x:row r="15" s="5" customFormat="1" ht="18" customHeight="1"/>
    <x:row r="16" s="5" customFormat="1" ht="18" customHeight="1"/>
    <x:row r="17" s="5" customFormat="1" ht="18" customHeight="1"/>
    <x:row r="18" s="5" customFormat="1" ht="18" customHeight="1"/>
    <x:row r="19" s="5" customFormat="1" ht="18" customHeight="1"/>
    <x:row r="20" s="5" customFormat="1" ht="18" customHeight="1"/>
    <x:row r="21" s="5" customFormat="1" ht="18" customHeight="1"/>
    <x:row r="22" s="5" customFormat="1" ht="18" customHeight="1"/>
    <x:row r="23" s="5" customFormat="1" ht="18" customHeight="1"/>
    <x:row r="24" s="5" customFormat="1" ht="18" customHeight="1"/>
    <x:row r="25" s="5" customFormat="1" ht="18" customHeight="1"/>
    <x:row r="26" s="5" customFormat="1" ht="18" customHeight="1"/>
    <x:row r="27" s="5" customFormat="1" ht="18" customHeight="1"/>
    <x:row r="28" s="5" customFormat="1" ht="18" customHeight="1"/>
    <x:row r="29" s="5" customFormat="1" ht="18" customHeight="1"/>
    <x:row r="30" s="5" customFormat="1" ht="18" customHeight="1"/>
    <x:row r="31" s="5" customFormat="1" ht="18" customHeight="1"/>
    <x:row r="32" s="5" customFormat="1" ht="18" customHeight="1"/>
    <x:row r="33" s="5" customFormat="1" ht="18" customHeight="1"/>
    <x:row r="34" s="5" customFormat="1" ht="18" customHeight="1"/>
    <x:row r="35" s="5" customFormat="1" ht="18" customHeight="1"/>
    <x:row r="36" s="5" customFormat="1" ht="18" customHeight="1"/>
    <x:row r="37" s="5" customFormat="1" ht="18" customHeight="1"/>
    <x:row r="38" s="5" customFormat="1" ht="18" customHeight="1"/>
    <x:row r="39" s="5" customFormat="1" ht="18" customHeight="1"/>
    <x:row r="40" s="5" customFormat="1" ht="18" customHeight="1"/>
    <x:row r="41" s="5" customFormat="1" ht="18" customHeight="1"/>
    <x:row r="42" s="5" customFormat="1" ht="18" customHeight="1"/>
    <x:row r="43" s="5" customFormat="1" ht="18" customHeight="1"/>
    <x:row r="44" s="5" customFormat="1" ht="18" customHeight="1"/>
    <x:row r="45" s="5" customFormat="1" ht="18" customHeight="1"/>
    <x:row r="46" s="5" customFormat="1" ht="18" customHeight="1"/>
    <x:row r="47" s="5" customFormat="1" ht="18" customHeight="1"/>
    <x:row r="48" s="5" customFormat="1" ht="18" customHeight="1"/>
    <x:row r="49" s="5" customFormat="1" ht="18" customHeight="1"/>
    <x:row r="50" s="5" customFormat="1" ht="18" customHeight="1"/>
    <x:row r="51" s="5" customFormat="1" ht="18" customHeight="1"/>
    <x:row r="52" s="5" customFormat="1" ht="18" customHeight="1"/>
    <x:row r="53" s="5" customFormat="1" ht="18" customHeight="1"/>
    <x:row r="54" s="5" customFormat="1" ht="18" customHeight="1"/>
    <x:row r="55" s="5" customFormat="1" ht="18" customHeight="1"/>
    <x:row r="56" s="5" customFormat="1" ht="18" customHeight="1"/>
    <x:row r="57" s="5" customFormat="1" ht="18" customHeight="1"/>
    <x:row r="58" s="5" customFormat="1" ht="18" customHeight="1"/>
    <x:row r="59" s="5" customFormat="1" ht="18" customHeight="1"/>
    <x:row r="60" s="5" customFormat="1" ht="18" customHeight="1"/>
    <x:row r="61" s="5" customFormat="1" ht="18" customHeight="1"/>
    <x:row r="62" s="5" customFormat="1" ht="18" customHeight="1"/>
    <x:row r="63" s="5" customFormat="1" ht="18" customHeight="1"/>
    <x:row r="64" s="5" customFormat="1" ht="18" customHeight="1"/>
    <x:row r="65" s="5" customFormat="1" ht="18" customHeight="1"/>
    <x:row r="66" s="5" customFormat="1" ht="18" customHeight="1"/>
    <x:row r="67" s="5" customFormat="1" ht="18" customHeight="1"/>
    <x:row r="68" s="5" customFormat="1" ht="18" customHeight="1"/>
    <x:row r="69" s="5" customFormat="1" ht="18" customHeight="1"/>
    <x:row r="70" s="5" customFormat="1" ht="18" customHeight="1"/>
    <x:row r="71" s="5" customFormat="1" ht="18" customHeight="1"/>
    <x:row r="72" s="5" customFormat="1" ht="18" customHeight="1"/>
    <x:row r="73" s="5" customFormat="1" ht="18" customHeight="1"/>
    <x:row r="74" s="5" customFormat="1" ht="18" customHeight="1"/>
    <x:row r="75" s="5" customFormat="1" ht="18" customHeight="1"/>
    <x:row r="76" s="5" customFormat="1" ht="18" customHeight="1"/>
    <x:row r="77" s="5" customFormat="1" ht="18" customHeight="1"/>
    <x:row r="78" s="5" customFormat="1" ht="18" customHeight="1"/>
    <x:row r="79" s="5" customFormat="1" ht="18" customHeight="1"/>
    <x:row r="80" s="5" customFormat="1" ht="18" customHeight="1"/>
    <x:row r="81" s="5" customFormat="1" ht="18" customHeight="1"/>
    <x:row r="82" s="5" customFormat="1" ht="18" customHeight="1"/>
    <x:row r="83" s="5" customFormat="1" ht="18" customHeight="1"/>
    <x:row r="84" s="5" customFormat="1" ht="18" customHeight="1"/>
    <x:row r="85" s="5" customFormat="1" ht="18" customHeight="1"/>
    <x:row r="86" s="5" customFormat="1" ht="18" customHeight="1"/>
    <x:row r="87" s="5" customFormat="1" ht="18" customHeight="1"/>
    <x:row r="88" s="5" customFormat="1" ht="18" customHeight="1"/>
    <x:row r="89" s="5" customFormat="1" ht="18" customHeight="1"/>
    <x:row r="90" s="5" customFormat="1" ht="18" customHeight="1"/>
    <x:row r="91" s="5" customFormat="1" ht="18" customHeight="1"/>
    <x:row r="92" s="5" customFormat="1" ht="18" customHeight="1"/>
    <x:row r="93" s="5" customFormat="1" ht="18" customHeight="1"/>
    <x:row r="94" s="5" customFormat="1" ht="18" customHeight="1"/>
    <x:row r="95" s="5" customFormat="1" ht="18" customHeight="1"/>
    <x:row r="96" s="5" customFormat="1" ht="18" customHeight="1"/>
    <x:row r="97" s="5" customFormat="1" ht="18" customHeight="1"/>
    <x:row r="98" s="5" customFormat="1" ht="18" customHeight="1"/>
    <x:row r="99" s="5" customFormat="1" ht="18" customHeight="1"/>
    <x:row r="100" s="5" customFormat="1" ht="18" customHeight="1"/>
    <x:row r="101" s="5" customFormat="1" ht="18" customHeight="1"/>
    <x:row r="102" s="5" customFormat="1" ht="18" customHeight="1"/>
    <x:row r="103" s="5" customFormat="1" ht="18" customHeight="1"/>
    <x:row r="104" s="5" customFormat="1" ht="18" customHeight="1"/>
    <x:row r="105" s="5" customFormat="1" ht="18" customHeight="1"/>
    <x:row r="106" s="5" customFormat="1" ht="18" customHeight="1"/>
    <x:row r="107" s="5" customFormat="1" ht="18" customHeight="1"/>
    <x:row r="108" s="5" customFormat="1" ht="18" customHeight="1"/>
    <x:row r="109" s="5" customFormat="1" ht="18" customHeight="1"/>
    <x:row r="110" s="5" customFormat="1" ht="18" customHeight="1"/>
    <x:row r="111" s="5" customFormat="1" ht="18" customHeight="1"/>
    <x:row r="112" s="5" customFormat="1" ht="18" customHeight="1"/>
    <x:row r="113" s="5" customFormat="1" ht="18" customHeight="1"/>
    <x:row r="114" s="5" customFormat="1" ht="18" customHeight="1"/>
    <x:row r="115" s="5" customFormat="1" ht="18" customHeight="1"/>
    <x:row r="116" s="5" customFormat="1" ht="18" customHeight="1"/>
    <x:row r="117" s="5" customFormat="1" ht="18" customHeight="1"/>
    <x:row r="118" s="5" customFormat="1" ht="18" customHeight="1"/>
    <x:row r="119" s="5" customFormat="1" ht="18" customHeight="1"/>
    <x:row r="120" s="5" customFormat="1" ht="18" customHeight="1"/>
    <x:row r="121" s="5" customFormat="1" ht="18" customHeight="1"/>
    <x:row r="122" s="5" customFormat="1" ht="18" customHeight="1"/>
    <x:row r="123" s="5" customFormat="1" ht="18" customHeight="1"/>
    <x:row r="124" s="5" customFormat="1" ht="18" customHeight="1"/>
    <x:row r="125" s="5" customFormat="1" ht="18" customHeight="1"/>
    <x:row r="126" s="5" customFormat="1" ht="18" customHeight="1"/>
    <x:row r="127" s="5" customFormat="1" ht="18" customHeight="1"/>
    <x:row r="128" s="5" customFormat="1" ht="18" customHeight="1"/>
    <x:row r="129" s="5" customFormat="1" ht="18" customHeight="1"/>
    <x:row r="130" s="5" customFormat="1" ht="18" customHeight="1"/>
    <x:row r="131" s="5" customFormat="1" ht="18" customHeight="1"/>
    <x:row r="132" s="5" customFormat="1" ht="18" customHeight="1"/>
    <x:row r="133" s="5" customFormat="1" ht="18" customHeight="1"/>
    <x:row r="134" s="5" customFormat="1" ht="18" customHeight="1"/>
    <x:row r="135" s="5" customFormat="1" ht="18" customHeight="1"/>
    <x:row r="136" s="5" customFormat="1" ht="18" customHeight="1"/>
    <x:row r="137" s="5" customFormat="1" ht="18" customHeight="1"/>
    <x:row r="138" s="5" customFormat="1" ht="18" customHeight="1"/>
    <x:row r="139" s="5" customFormat="1" ht="18" customHeight="1"/>
    <x:row r="140" s="5" customFormat="1" ht="18" customHeight="1"/>
    <x:row r="141" s="5" customFormat="1" ht="18" customHeight="1"/>
    <x:row r="142" s="5" customFormat="1" ht="18" customHeight="1"/>
    <x:row r="143" s="5" customFormat="1" ht="18" customHeight="1"/>
    <x:row r="144" s="5" customFormat="1" ht="18" customHeight="1"/>
    <x:row r="145" s="5" customFormat="1" ht="18" customHeight="1"/>
    <x:row r="146" s="5" customFormat="1" ht="18" customHeight="1"/>
    <x:row r="147" s="5" customFormat="1" ht="18" customHeight="1"/>
    <x:row r="148" s="5" customFormat="1" ht="18" customHeight="1"/>
    <x:row r="149" s="5" customFormat="1" ht="18" customHeight="1"/>
    <x:row r="150" s="5" customFormat="1" ht="18" customHeight="1"/>
    <x:row r="151" s="5" customFormat="1" ht="18" customHeight="1"/>
    <x:row r="152" s="5" customFormat="1" ht="18" customHeight="1"/>
    <x:row r="153" s="5" customFormat="1" ht="18" customHeight="1"/>
    <x:row r="154" s="5" customFormat="1" ht="18" customHeight="1"/>
    <x:row r="155" s="5" customFormat="1" ht="18" customHeight="1"/>
    <x:row r="156" s="5" customFormat="1" ht="18" customHeight="1"/>
    <x:row r="157" s="5" customFormat="1" ht="18" customHeight="1"/>
    <x:row r="158" s="5" customFormat="1" ht="18" customHeight="1"/>
    <x:row r="159" s="5" customFormat="1" ht="18" customHeight="1"/>
    <x:row r="160" s="5" customFormat="1" ht="18" customHeight="1"/>
    <x:row r="161" s="5" customFormat="1" ht="18" customHeight="1"/>
    <x:row r="162" s="5" customFormat="1" ht="18" customHeight="1"/>
    <x:row r="163" s="5" customFormat="1" ht="18" customHeight="1"/>
    <x:row r="164" s="5" customFormat="1" ht="18" customHeight="1"/>
    <x:row r="165" s="5" customFormat="1" ht="18" customHeight="1"/>
    <x:row r="166" s="5" customFormat="1" ht="18" customHeight="1"/>
    <x:row r="167" s="5" customFormat="1" ht="18" customHeight="1"/>
    <x:row r="168" s="5" customFormat="1" ht="18" customHeight="1"/>
    <x:row r="169" s="5" customFormat="1" ht="18" customHeight="1"/>
    <x:row r="170" s="5" customFormat="1" ht="18" customHeight="1"/>
    <x:row r="171" s="5" customFormat="1" ht="18" customHeight="1"/>
    <x:row r="172" s="5" customFormat="1" ht="18" customHeight="1"/>
    <x:row r="173" s="5" customFormat="1" ht="18" customHeight="1"/>
    <x:row r="174" s="5" customFormat="1" ht="18" customHeight="1"/>
    <x:row r="175" s="5" customFormat="1" ht="18" customHeight="1"/>
    <x:row r="176" s="5" customFormat="1" ht="18" customHeight="1"/>
    <x:row r="177" s="5" customFormat="1" ht="18" customHeight="1"/>
    <x:row r="178" s="5" customFormat="1" ht="18" customHeight="1"/>
    <x:row r="179" s="5" customFormat="1" ht="18" customHeight="1"/>
    <x:row r="180" s="5" customFormat="1" ht="18" customHeight="1"/>
    <x:row r="181" s="5" customFormat="1" ht="18" customHeight="1"/>
    <x:row r="182" s="5" customFormat="1" ht="18" customHeight="1"/>
    <x:row r="183" s="5" customFormat="1" ht="18" customHeight="1"/>
    <x:row r="184" s="5" customFormat="1" ht="18" customHeight="1"/>
    <x:row r="185" s="5" customFormat="1" ht="18" customHeight="1"/>
    <x:row r="186" s="5" customFormat="1" ht="18" customHeight="1"/>
    <x:row r="187" s="5" customFormat="1" ht="18" customHeight="1"/>
    <x:row r="188" s="5" customFormat="1" ht="18" customHeight="1"/>
    <x:row r="189" s="5" customFormat="1" ht="18" customHeight="1"/>
    <x:row r="190" s="5" customFormat="1" ht="18" customHeight="1"/>
    <x:row r="191" s="5" customFormat="1" ht="18" customHeight="1"/>
    <x:row r="192" s="5" customFormat="1" ht="18" customHeight="1"/>
    <x:row r="193" s="5" customFormat="1" ht="18" customHeight="1"/>
    <x:row r="194" s="5" customFormat="1" ht="18" customHeight="1"/>
    <x:row r="195" s="5" customFormat="1" ht="18" customHeight="1"/>
    <x:row r="196" s="5" customFormat="1" ht="18" customHeight="1"/>
    <x:row r="197" s="5" customFormat="1" ht="18" customHeight="1"/>
    <x:row r="198" s="5" customFormat="1" ht="18" customHeight="1"/>
    <x:row r="199" s="5" customFormat="1" ht="18" customHeight="1"/>
    <x:row r="200" s="5" customFormat="1" ht="18" customHeight="1"/>
  </x:sheetData>
  <x:dataValidations count="3">
    <x:dataValidation type="list" allowBlank="1" showInputMessage="1" showErrorMessage="1" sqref="N4:N200">
      <x:formula1>"healthy,disease"</x:formula1>
    </x:dataValidation>
    <x:dataValidation type="list" allowBlank="1" showInputMessage="1" showErrorMessage="1" sqref="R4:R200">
      <x:formula1>"male,female,mixed,unknown"</x:formula1>
    </x:dataValidation>
    <x:dataValidation type="list" allowBlank="1" showInputMessage="1" showErrorMessage="1" sqref="S4:S200">
      <x:formula1>"PATO_0000383,PATO_0000384,PATO_0001894"</x:formula1>
    </x:dataValidation>
  </x:dataValidations>
  <x:hyperlinks>
    <x:hyperlink xmlns:r="http://schemas.openxmlformats.org/officeDocument/2006/relationships" ref="E3" r:id="R70a03737cf1e4d5e"/>
    <x:hyperlink xmlns:r="http://schemas.openxmlformats.org/officeDocument/2006/relationships" ref="E6" r:id="Re43274ef818c4dd8"/>
    <x:hyperlink xmlns:r="http://schemas.openxmlformats.org/officeDocument/2006/relationships" ref="E7" r:id="R7e612e3a20ba46ed"/>
  </x:hyperlinks>
  <x:pageMargins left="0.7" right="0.7" top="0.75" bottom="0.75" header="0.3" footer="0.3"/>
</x:worksheet>
</file>

<file path=xl/worksheets/sheet7.xml><?xml version="1.0" encoding="utf-8"?>
<x:worksheet xmlns:x="http://schemas.openxmlformats.org/spreadsheetml/2006/main">
  <x:sheetFormatPr baseColWidth="10" defaultColWidth="8.83203125" defaultRowHeight="15"/>
  <x:cols>
    <x:col min="1" max="1" width="16.6640625" customWidth="1"/>
    <x:col min="2" max="2" width="14.6640625" customWidth="1"/>
    <x:col min="3" max="3" width="30.6640625" customWidth="1"/>
    <x:col min="4" max="4" width="15.6640625" customWidth="1"/>
    <x:col min="5" max="5" width="18.6640625" customWidth="1"/>
    <x:col min="6" max="7" width="24.6640625" customWidth="1"/>
    <x:col min="8" max="8" width="20.6640625" customWidth="1"/>
    <x:col min="9" max="9" width="15.6640625" customWidth="1"/>
  </x:cols>
  <x:sheetData>
    <x:row r="1" ht="42" customHeight="1">
      <x:c r="A1" s="1" t="s">
        <x:v>268</x:v>
      </x:c>
      <x:c r="B1" s="1" t="s">
        <x:v>269</x:v>
      </x:c>
      <x:c r="C1" s="1" t="s">
        <x:v>270</x:v>
      </x:c>
      <x:c r="D1" s="1" t="s">
        <x:v>271</x:v>
      </x:c>
      <x:c r="E1" s="1" t="s">
        <x:v>272</x:v>
      </x:c>
      <x:c r="F1" s="1" t="s">
        <x:v>273</x:v>
      </x:c>
      <x:c r="G1" s="1" t="s">
        <x:v>274</x:v>
      </x:c>
      <x:c r="H1" s="1" t="s">
        <x:v>275</x:v>
      </x:c>
      <x:c r="I1" s="1" t="s">
        <x:v>275</x:v>
      </x:c>
    </x:row>
    <x:row r="2" ht="22" customHeight="1">
      <x:c r="A2" s="2" t="s">
        <x:v>77</x:v>
      </x:c>
      <x:c r="B2" s="2" t="s">
        <x:v>276</x:v>
      </x:c>
      <x:c r="C2" s="2" t="s">
        <x:v>277</x:v>
      </x:c>
      <x:c r="D2" s="3" t="s">
        <x:v>278</x:v>
      </x:c>
      <x:c r="E2" s="3" t="s">
        <x:v>279</x:v>
      </x:c>
      <x:c r="F2" s="3" t="s">
        <x:v>280</x:v>
      </x:c>
      <x:c r="G2" s="3" t="s">
        <x:v>281</x:v>
      </x:c>
      <x:c r="H2" s="3" t="s">
        <x:v>282</x:v>
      </x:c>
      <x:c r="I2" s="3" t="s">
        <x:v>79</x:v>
      </x:c>
    </x:row>
    <x:row r="3" ht="36" customHeight="1">
      <x:c r="A3" s="4" t="s">
        <x:v>87</x:v>
      </x:c>
      <x:c r="B3" s="4" t="s">
        <x:v>283</x:v>
      </x:c>
      <x:c r="C3" s="4" t="s">
        <x:v>284</x:v>
      </x:c>
      <x:c r="D3" s="4" t="s">
        <x:v>285</x:v>
      </x:c>
      <x:c r="E3" s="4" t="s">
        <x:v>286</x:v>
      </x:c>
      <x:c r="F3" s="4" t="s">
        <x:v>287</x:v>
      </x:c>
      <x:c r="G3" s="4" t="s">
        <x:v>288</x:v>
      </x:c>
      <x:c r="H3" s="4" t="s">
        <x:v>289</x:v>
      </x:c>
      <x:c r="I3" s="4"/>
    </x:row>
    <x:row r="4" s="5" customFormat="1" ht="18" customHeight="1">
      <x:c r="A4" s="5" t="s">
        <x:v>107</x:v>
      </x:c>
      <x:c r="B4" s="5" t="s">
        <x:v>283</x:v>
      </x:c>
      <x:c r="C4" s="5" t="s">
        <x:v>284</x:v>
      </x:c>
      <x:c r="D4" s="5" t="s">
        <x:v>290</x:v>
      </x:c>
      <x:c r="E4" s="5" t="s">
        <x:v>291</x:v>
      </x:c>
      <x:c r="F4" s="5" t="s">
        <x:v>292</x:v>
      </x:c>
    </x:row>
    <x:row r="5" s="5" customFormat="1" ht="18" customHeight="1">
      <x:c r="A5" s="5" t="s">
        <x:v>99</x:v>
      </x:c>
      <x:c r="B5" s="5" t="s">
        <x:v>283</x:v>
      </x:c>
      <x:c r="C5" s="5" t="s">
        <x:v>284</x:v>
      </x:c>
      <x:c r="D5" s="5" t="s">
        <x:v>293</x:v>
      </x:c>
      <x:c r="F5" s="5" t="s">
        <x:v>294</x:v>
      </x:c>
    </x:row>
    <x:row r="6" s="5" customFormat="1" ht="18" customHeight="1">
      <x:c r="A6" s="5" t="s">
        <x:v>112</x:v>
      </x:c>
      <x:c r="B6" s="5" t="s">
        <x:v>283</x:v>
      </x:c>
      <x:c r="C6" s="5" t="s">
        <x:v>284</x:v>
      </x:c>
      <x:c r="H6" s="5" t="s">
        <x:v>295</x:v>
      </x:c>
    </x:row>
    <x:row r="7" s="5" customFormat="1" ht="18" customHeight="1">
      <x:c r="A7" s="5" t="s">
        <x:v>123</x:v>
      </x:c>
      <x:c r="B7" s="5" t="s">
        <x:v>283</x:v>
      </x:c>
      <x:c r="C7" s="5" t="s">
        <x:v>284</x:v>
      </x:c>
      <x:c r="H7" s="5" t="s">
        <x:v>296</x:v>
      </x:c>
    </x:row>
    <x:row r="8" s="5" customFormat="1" ht="18" customHeight="1">
      <x:c r="A8" s="5" t="s">
        <x:v>128</x:v>
      </x:c>
      <x:c r="B8" s="5" t="s">
        <x:v>283</x:v>
      </x:c>
      <x:c r="C8" s="5" t="s">
        <x:v>284</x:v>
      </x:c>
    </x:row>
    <x:row r="9" s="5" customFormat="1" ht="18" customHeight="1">
      <x:c r="A9" s="5" t="s">
        <x:v>193</x:v>
      </x:c>
      <x:c r="B9" s="5" t="s">
        <x:v>283</x:v>
      </x:c>
      <x:c r="C9" s="5" t="s">
        <x:v>297</x:v>
      </x:c>
      <x:c r="D9" s="5" t="s">
        <x:v>298</x:v>
      </x:c>
      <x:c r="G9" s="5" t="s">
        <x:v>299</x:v>
      </x:c>
    </x:row>
    <x:row r="10" s="5" customFormat="1" ht="18" customHeight="1">
      <x:c r="A10" s="5" t="s">
        <x:v>204</x:v>
      </x:c>
      <x:c r="B10" s="5" t="s">
        <x:v>300</x:v>
      </x:c>
      <x:c r="C10" s="5" t="s">
        <x:v>301</x:v>
      </x:c>
      <x:c r="H10" s="5" t="s">
        <x:v>302</x:v>
      </x:c>
    </x:row>
    <x:row r="11" s="5" customFormat="1" ht="18" customHeight="1"/>
    <x:row r="12" s="5" customFormat="1" ht="18" customHeight="1"/>
    <x:row r="13" s="5" customFormat="1" ht="18" customHeight="1"/>
    <x:row r="14" s="5" customFormat="1" ht="18" customHeight="1"/>
    <x:row r="15" s="5" customFormat="1" ht="18" customHeight="1"/>
    <x:row r="16" s="5" customFormat="1" ht="18" customHeight="1"/>
    <x:row r="17" s="5" customFormat="1" ht="18" customHeight="1"/>
    <x:row r="18" s="5" customFormat="1" ht="18" customHeight="1"/>
    <x:row r="19" s="5" customFormat="1" ht="18" customHeight="1"/>
    <x:row r="20" s="5" customFormat="1" ht="18" customHeight="1"/>
    <x:row r="21" s="5" customFormat="1" ht="18" customHeight="1"/>
    <x:row r="22" s="5" customFormat="1" ht="18" customHeight="1"/>
    <x:row r="23" s="5" customFormat="1" ht="18" customHeight="1"/>
    <x:row r="24" s="5" customFormat="1" ht="18" customHeight="1"/>
    <x:row r="25" s="5" customFormat="1" ht="18" customHeight="1"/>
    <x:row r="26" s="5" customFormat="1" ht="18" customHeight="1"/>
    <x:row r="27" s="5" customFormat="1" ht="18" customHeight="1"/>
    <x:row r="28" s="5" customFormat="1" ht="18" customHeight="1"/>
    <x:row r="29" s="5" customFormat="1" ht="18" customHeight="1"/>
    <x:row r="30" s="5" customFormat="1" ht="18" customHeight="1"/>
    <x:row r="31" s="5" customFormat="1" ht="18" customHeight="1"/>
    <x:row r="32" s="5" customFormat="1" ht="18" customHeight="1"/>
    <x:row r="33" s="5" customFormat="1" ht="18" customHeight="1"/>
    <x:row r="34" s="5" customFormat="1" ht="18" customHeight="1"/>
    <x:row r="35" s="5" customFormat="1" ht="18" customHeight="1"/>
    <x:row r="36" s="5" customFormat="1" ht="18" customHeight="1"/>
    <x:row r="37" s="5" customFormat="1" ht="18" customHeight="1"/>
    <x:row r="38" s="5" customFormat="1" ht="18" customHeight="1"/>
    <x:row r="39" s="5" customFormat="1" ht="18" customHeight="1"/>
    <x:row r="40" s="5" customFormat="1" ht="18" customHeight="1"/>
    <x:row r="41" s="5" customFormat="1" ht="18" customHeight="1"/>
    <x:row r="42" s="5" customFormat="1" ht="18" customHeight="1"/>
    <x:row r="43" s="5" customFormat="1" ht="18" customHeight="1"/>
    <x:row r="44" s="5" customFormat="1" ht="18" customHeight="1"/>
    <x:row r="45" s="5" customFormat="1" ht="18" customHeight="1"/>
    <x:row r="46" s="5" customFormat="1" ht="18" customHeight="1"/>
    <x:row r="47" s="5" customFormat="1" ht="18" customHeight="1"/>
    <x:row r="48" s="5" customFormat="1" ht="18" customHeight="1"/>
    <x:row r="49" s="5" customFormat="1" ht="18" customHeight="1"/>
    <x:row r="50" s="5" customFormat="1" ht="18" customHeight="1"/>
    <x:row r="51" s="5" customFormat="1" ht="18" customHeight="1"/>
    <x:row r="52" s="5" customFormat="1" ht="18" customHeight="1"/>
    <x:row r="53" s="5" customFormat="1" ht="18" customHeight="1"/>
    <x:row r="54" s="5" customFormat="1" ht="18" customHeight="1"/>
    <x:row r="55" s="5" customFormat="1" ht="18" customHeight="1"/>
    <x:row r="56" s="5" customFormat="1" ht="18" customHeight="1"/>
    <x:row r="57" s="5" customFormat="1" ht="18" customHeight="1"/>
    <x:row r="58" s="5" customFormat="1" ht="18" customHeight="1"/>
    <x:row r="59" s="5" customFormat="1" ht="18" customHeight="1"/>
    <x:row r="60" s="5" customFormat="1" ht="18" customHeight="1"/>
    <x:row r="61" s="5" customFormat="1" ht="18" customHeight="1"/>
    <x:row r="62" s="5" customFormat="1" ht="18" customHeight="1"/>
    <x:row r="63" s="5" customFormat="1" ht="18" customHeight="1"/>
    <x:row r="64" s="5" customFormat="1" ht="18" customHeight="1"/>
    <x:row r="65" s="5" customFormat="1" ht="18" customHeight="1"/>
    <x:row r="66" s="5" customFormat="1" ht="18" customHeight="1"/>
    <x:row r="67" s="5" customFormat="1" ht="18" customHeight="1"/>
    <x:row r="68" s="5" customFormat="1" ht="18" customHeight="1"/>
    <x:row r="69" s="5" customFormat="1" ht="18" customHeight="1"/>
    <x:row r="70" s="5" customFormat="1" ht="18" customHeight="1"/>
    <x:row r="71" s="5" customFormat="1" ht="18" customHeight="1"/>
    <x:row r="72" s="5" customFormat="1" ht="18" customHeight="1"/>
    <x:row r="73" s="5" customFormat="1" ht="18" customHeight="1"/>
    <x:row r="74" s="5" customFormat="1" ht="18" customHeight="1"/>
    <x:row r="75" s="5" customFormat="1" ht="18" customHeight="1"/>
    <x:row r="76" s="5" customFormat="1" ht="18" customHeight="1"/>
    <x:row r="77" s="5" customFormat="1" ht="18" customHeight="1"/>
    <x:row r="78" s="5" customFormat="1" ht="18" customHeight="1"/>
    <x:row r="79" s="5" customFormat="1" ht="18" customHeight="1"/>
    <x:row r="80" s="5" customFormat="1" ht="18" customHeight="1"/>
    <x:row r="81" s="5" customFormat="1" ht="18" customHeight="1"/>
    <x:row r="82" s="5" customFormat="1" ht="18" customHeight="1"/>
    <x:row r="83" s="5" customFormat="1" ht="18" customHeight="1"/>
    <x:row r="84" s="5" customFormat="1" ht="18" customHeight="1"/>
    <x:row r="85" s="5" customFormat="1" ht="18" customHeight="1"/>
    <x:row r="86" s="5" customFormat="1" ht="18" customHeight="1"/>
    <x:row r="87" s="5" customFormat="1" ht="18" customHeight="1"/>
    <x:row r="88" s="5" customFormat="1" ht="18" customHeight="1"/>
    <x:row r="89" s="5" customFormat="1" ht="18" customHeight="1"/>
    <x:row r="90" s="5" customFormat="1" ht="18" customHeight="1"/>
    <x:row r="91" s="5" customFormat="1" ht="18" customHeight="1"/>
    <x:row r="92" s="5" customFormat="1" ht="18" customHeight="1"/>
    <x:row r="93" s="5" customFormat="1" ht="18" customHeight="1"/>
    <x:row r="94" s="5" customFormat="1" ht="18" customHeight="1"/>
    <x:row r="95" s="5" customFormat="1" ht="18" customHeight="1"/>
    <x:row r="96" s="5" customFormat="1" ht="18" customHeight="1"/>
    <x:row r="97" s="5" customFormat="1" ht="18" customHeight="1"/>
    <x:row r="98" s="5" customFormat="1" ht="18" customHeight="1"/>
    <x:row r="99" s="5" customFormat="1" ht="18" customHeight="1"/>
    <x:row r="100" s="5" customFormat="1" ht="18" customHeight="1"/>
    <x:row r="101" s="5" customFormat="1" ht="18" customHeight="1"/>
    <x:row r="102" s="5" customFormat="1" ht="18" customHeight="1"/>
    <x:row r="103" s="5" customFormat="1" ht="18" customHeight="1"/>
    <x:row r="104" s="5" customFormat="1" ht="18" customHeight="1"/>
    <x:row r="105" s="5" customFormat="1" ht="18" customHeight="1"/>
    <x:row r="106" s="5" customFormat="1" ht="18" customHeight="1"/>
    <x:row r="107" s="5" customFormat="1" ht="18" customHeight="1"/>
    <x:row r="108" s="5" customFormat="1" ht="18" customHeight="1"/>
    <x:row r="109" s="5" customFormat="1" ht="18" customHeight="1"/>
    <x:row r="110" s="5" customFormat="1" ht="18" customHeight="1"/>
    <x:row r="111" s="5" customFormat="1" ht="18" customHeight="1"/>
    <x:row r="112" s="5" customFormat="1" ht="18" customHeight="1"/>
    <x:row r="113" s="5" customFormat="1" ht="18" customHeight="1"/>
    <x:row r="114" s="5" customFormat="1" ht="18" customHeight="1"/>
    <x:row r="115" s="5" customFormat="1" ht="18" customHeight="1"/>
    <x:row r="116" s="5" customFormat="1" ht="18" customHeight="1"/>
    <x:row r="117" s="5" customFormat="1" ht="18" customHeight="1"/>
    <x:row r="118" s="5" customFormat="1" ht="18" customHeight="1"/>
    <x:row r="119" s="5" customFormat="1" ht="18" customHeight="1"/>
    <x:row r="120" s="5" customFormat="1" ht="18" customHeight="1"/>
    <x:row r="121" s="5" customFormat="1" ht="18" customHeight="1"/>
    <x:row r="122" s="5" customFormat="1" ht="18" customHeight="1"/>
    <x:row r="123" s="5" customFormat="1" ht="18" customHeight="1"/>
    <x:row r="124" s="5" customFormat="1" ht="18" customHeight="1"/>
    <x:row r="125" s="5" customFormat="1" ht="18" customHeight="1"/>
    <x:row r="126" s="5" customFormat="1" ht="18" customHeight="1"/>
    <x:row r="127" s="5" customFormat="1" ht="18" customHeight="1"/>
    <x:row r="128" s="5" customFormat="1" ht="18" customHeight="1"/>
    <x:row r="129" s="5" customFormat="1" ht="18" customHeight="1"/>
    <x:row r="130" s="5" customFormat="1" ht="18" customHeight="1"/>
    <x:row r="131" s="5" customFormat="1" ht="18" customHeight="1"/>
    <x:row r="132" s="5" customFormat="1" ht="18" customHeight="1"/>
    <x:row r="133" s="5" customFormat="1" ht="18" customHeight="1"/>
    <x:row r="134" s="5" customFormat="1" ht="18" customHeight="1"/>
    <x:row r="135" s="5" customFormat="1" ht="18" customHeight="1"/>
    <x:row r="136" s="5" customFormat="1" ht="18" customHeight="1"/>
    <x:row r="137" s="5" customFormat="1" ht="18" customHeight="1"/>
    <x:row r="138" s="5" customFormat="1" ht="18" customHeight="1"/>
    <x:row r="139" s="5" customFormat="1" ht="18" customHeight="1"/>
    <x:row r="140" s="5" customFormat="1" ht="18" customHeight="1"/>
    <x:row r="141" s="5" customFormat="1" ht="18" customHeight="1"/>
    <x:row r="142" s="5" customFormat="1" ht="18" customHeight="1"/>
    <x:row r="143" s="5" customFormat="1" ht="18" customHeight="1"/>
    <x:row r="144" s="5" customFormat="1" ht="18" customHeight="1"/>
    <x:row r="145" s="5" customFormat="1" ht="18" customHeight="1"/>
    <x:row r="146" s="5" customFormat="1" ht="18" customHeight="1"/>
    <x:row r="147" s="5" customFormat="1" ht="18" customHeight="1"/>
    <x:row r="148" s="5" customFormat="1" ht="18" customHeight="1"/>
    <x:row r="149" s="5" customFormat="1" ht="18" customHeight="1"/>
    <x:row r="150" s="5" customFormat="1" ht="18" customHeight="1"/>
    <x:row r="151" s="5" customFormat="1" ht="18" customHeight="1"/>
    <x:row r="152" s="5" customFormat="1" ht="18" customHeight="1"/>
    <x:row r="153" s="5" customFormat="1" ht="18" customHeight="1"/>
    <x:row r="154" s="5" customFormat="1" ht="18" customHeight="1"/>
    <x:row r="155" s="5" customFormat="1" ht="18" customHeight="1"/>
    <x:row r="156" s="5" customFormat="1" ht="18" customHeight="1"/>
    <x:row r="157" s="5" customFormat="1" ht="18" customHeight="1"/>
    <x:row r="158" s="5" customFormat="1" ht="18" customHeight="1"/>
    <x:row r="159" s="5" customFormat="1" ht="18" customHeight="1"/>
    <x:row r="160" s="5" customFormat="1" ht="18" customHeight="1"/>
    <x:row r="161" s="5" customFormat="1" ht="18" customHeight="1"/>
    <x:row r="162" s="5" customFormat="1" ht="18" customHeight="1"/>
    <x:row r="163" s="5" customFormat="1" ht="18" customHeight="1"/>
    <x:row r="164" s="5" customFormat="1" ht="18" customHeight="1"/>
    <x:row r="165" s="5" customFormat="1" ht="18" customHeight="1"/>
    <x:row r="166" s="5" customFormat="1" ht="18" customHeight="1"/>
    <x:row r="167" s="5" customFormat="1" ht="18" customHeight="1"/>
    <x:row r="168" s="5" customFormat="1" ht="18" customHeight="1"/>
    <x:row r="169" s="5" customFormat="1" ht="18" customHeight="1"/>
    <x:row r="170" s="5" customFormat="1" ht="18" customHeight="1"/>
    <x:row r="171" s="5" customFormat="1" ht="18" customHeight="1"/>
    <x:row r="172" s="5" customFormat="1" ht="18" customHeight="1"/>
    <x:row r="173" s="5" customFormat="1" ht="18" customHeight="1"/>
    <x:row r="174" s="5" customFormat="1" ht="18" customHeight="1"/>
    <x:row r="175" s="5" customFormat="1" ht="18" customHeight="1"/>
    <x:row r="176" s="5" customFormat="1" ht="18" customHeight="1"/>
    <x:row r="177" s="5" customFormat="1" ht="18" customHeight="1"/>
    <x:row r="178" s="5" customFormat="1" ht="18" customHeight="1"/>
    <x:row r="179" s="5" customFormat="1" ht="18" customHeight="1"/>
    <x:row r="180" s="5" customFormat="1" ht="18" customHeight="1"/>
    <x:row r="181" s="5" customFormat="1" ht="18" customHeight="1"/>
    <x:row r="182" s="5" customFormat="1" ht="18" customHeight="1"/>
    <x:row r="183" s="5" customFormat="1" ht="18" customHeight="1"/>
    <x:row r="184" s="5" customFormat="1" ht="18" customHeight="1"/>
    <x:row r="185" s="5" customFormat="1" ht="18" customHeight="1"/>
    <x:row r="186" s="5" customFormat="1" ht="18" customHeight="1"/>
    <x:row r="187" s="5" customFormat="1" ht="18" customHeight="1"/>
    <x:row r="188" s="5" customFormat="1" ht="18" customHeight="1"/>
    <x:row r="189" s="5" customFormat="1" ht="18" customHeight="1"/>
    <x:row r="190" s="5" customFormat="1" ht="18" customHeight="1"/>
    <x:row r="191" s="5" customFormat="1" ht="18" customHeight="1"/>
    <x:row r="192" s="5" customFormat="1" ht="18" customHeight="1"/>
    <x:row r="193" s="5" customFormat="1" ht="18" customHeight="1"/>
    <x:row r="194" s="5" customFormat="1" ht="18" customHeight="1"/>
    <x:row r="195" s="5" customFormat="1" ht="18" customHeight="1"/>
    <x:row r="196" s="5" customFormat="1" ht="18" customHeight="1"/>
    <x:row r="197" s="5" customFormat="1" ht="18" customHeight="1"/>
    <x:row r="198" s="5" customFormat="1" ht="18" customHeight="1"/>
    <x:row r="199" s="5" customFormat="1" ht="18" customHeight="1"/>
    <x:row r="200" s="5" customFormat="1" ht="18" customHeight="1"/>
  </x:sheetData>
  <x:dataValidations count="2">
    <x:dataValidation type="list" allowBlank="1" showInputMessage="1" showErrorMessage="1" sqref="B4:B200">
      <x:formula1>"software,manual"</x:formula1>
    </x:dataValidation>
    <x:dataValidation type="list" allowBlank="1" showInputMessage="1" showErrorMessage="1" sqref="C4:C200">
      <x:formula1>"ECO_0000218,ECO_0000203,ECO_0007674,ECO_0007673"</x:formula1>
    </x:dataValidation>
  </x:dataValidations>
  <x:hyperlinks>
    <x:hyperlink xmlns:r="http://schemas.openxmlformats.org/officeDocument/2006/relationships" ref="F3" r:id="R62b5f48ee0f6480d"/>
  </x:hyperlinks>
  <x:pageMargins left="0.7" right="0.7" top="0.75" bottom="0.75" header="0.3" footer="0.3"/>
</x:worksheet>
</file>