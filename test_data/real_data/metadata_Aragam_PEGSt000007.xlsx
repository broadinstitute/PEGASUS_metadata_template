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arl/Documents/git/PEGASUS_metadata_template-pr1-review-fixes/test_data/real_data/"/>
    </mc:Choice>
  </mc:AlternateContent>
  <xr:revisionPtr revIDLastSave="0" documentId="13_ncr:1_{E0F2C915-1B43-7341-B4FD-9C74ADB81C10}" xr6:coauthVersionLast="47" xr6:coauthVersionMax="47" xr10:uidLastSave="{00000000-0000-0000-0000-000000000000}"/>
  <bookViews>
    <workbookView xWindow="0" yWindow="660" windowWidth="30240" windowHeight="17280" activeTab="1" xr2:uid="{00000000-000D-0000-FFFF-FFFF00000000}"/>
  </bookViews>
  <sheets>
    <sheet name="DatasetDescription" sheetId="1" r:id="rId1"/>
    <sheet name="GenomicIdentifier" sheetId="2" r:id="rId2"/>
    <sheet name="Evidence" sheetId="3" r:id="rId3"/>
    <sheet name="validation" sheetId="4" state="hidden" r:id="rId4"/>
    <sheet name="Integration" sheetId="5" r:id="rId5"/>
    <sheet name="Source" sheetId="6" r:id="rId6"/>
    <sheet name="Metho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3" l="1" a="1"/>
  <c r="E29" i="3" s="1"/>
  <c r="E28" i="3" a="1"/>
  <c r="E28" i="3" s="1"/>
  <c r="E25" i="3" a="1"/>
  <c r="E25" i="3" s="1"/>
  <c r="E24" i="3" a="1"/>
  <c r="E24" i="3" s="1"/>
  <c r="E23" i="3" a="1"/>
  <c r="E23" i="3"/>
  <c r="E22" i="3" a="1"/>
  <c r="E22" i="3"/>
  <c r="E21" i="3" a="1"/>
  <c r="E21" i="3" s="1"/>
  <c r="E20" i="3" a="1"/>
  <c r="E20" i="3"/>
  <c r="E19" i="3" a="1"/>
  <c r="E19" i="3"/>
  <c r="E18" i="3" a="1"/>
  <c r="E18" i="3"/>
  <c r="E17" i="3" a="1"/>
  <c r="E17" i="3" s="1"/>
  <c r="E16" i="3" a="1"/>
  <c r="E16" i="3"/>
  <c r="E15" i="3" a="1"/>
  <c r="E15" i="3" s="1"/>
  <c r="E14" i="3" a="1"/>
  <c r="E14" i="3" s="1"/>
  <c r="E13" i="3" a="1"/>
  <c r="E13" i="3" s="1"/>
  <c r="E12" i="3" a="1"/>
  <c r="E12" i="3" s="1"/>
  <c r="E11" i="3" a="1"/>
  <c r="E11" i="3" s="1"/>
  <c r="E10" i="3" a="1"/>
  <c r="E10" i="3" s="1"/>
  <c r="E9" i="3" a="1"/>
  <c r="E9" i="3" s="1"/>
  <c r="E7" i="3" a="1"/>
  <c r="E7" i="3" s="1"/>
  <c r="E6" i="3" a="1"/>
  <c r="E6" i="3" s="1"/>
  <c r="E5" i="3" a="1"/>
  <c r="E5" i="3"/>
  <c r="E4" i="3" a="1"/>
  <c r="E4" i="3" s="1"/>
</calcChain>
</file>

<file path=xl/sharedStrings.xml><?xml version="1.0" encoding="utf-8"?>
<sst xmlns="http://schemas.openxmlformats.org/spreadsheetml/2006/main" count="669" uniqueCount="370">
  <si>
    <t>Free-text description of the phenotype under investigation.</t>
  </si>
  <si>
    <t>Standard ontology identifier mapped to the trait (e.g., EFO, MONDO, HPO, DOID).</t>
  </si>
  <si>
    <t>Identifier of the origin of the PEG list (e.g., publication, DOI, preprint, URL).</t>
  </si>
  <si>
    <t>Identifier of the GWAS source. Prefer GWAS Catalog accession (GCST); if not available, use PubMed ID, doi, url</t>
  </si>
  <si>
    <t>Detailed description of the GWAS samples.</t>
  </si>
  <si>
    <t>Total number of individuals included in the GWAS analysis.</t>
  </si>
  <si>
    <t>Indicator of whether the GWAS design is case–control (TRUE or FALSE).</t>
  </si>
  <si>
    <t>Free-text description of participant ancestry</t>
  </si>
  <si>
    <t>Broad ancestry category that best describes the sample. Multiple values can be listed separated by '|'.</t>
  </si>
  <si>
    <t>trait_description</t>
  </si>
  <si>
    <t>trait_ontology_id</t>
  </si>
  <si>
    <t>peg_source</t>
  </si>
  <si>
    <t>gwas_source</t>
  </si>
  <si>
    <t>gwas_samples_description</t>
  </si>
  <si>
    <t>gwas_sample_size</t>
  </si>
  <si>
    <t>gwas_case_control_study</t>
  </si>
  <si>
    <t>gwas_sample_ancestry</t>
  </si>
  <si>
    <t>gwas_sample_ancestry_label</t>
  </si>
  <si>
    <t>Ascorbic acid 3-sulfate levels</t>
  </si>
  <si>
    <t>EFO_0800173</t>
  </si>
  <si>
    <t>PMID:36357675</t>
  </si>
  <si>
    <t>GCST000001</t>
  </si>
  <si>
    <t>6,136 Finnish ancestry individuals</t>
  </si>
  <si>
    <t>Finland</t>
  </si>
  <si>
    <t>European</t>
  </si>
  <si>
    <t>coronary artery disease</t>
  </si>
  <si>
    <t>EFO_0001645</t>
  </si>
  <si>
    <t>PMID:36474045</t>
  </si>
  <si>
    <t>Explanation of how the main variant was selected  (e.g., lead, sentinel, index, mixed).</t>
  </si>
  <si>
    <t>Additional free-text notes about the variant</t>
  </si>
  <si>
    <t>Genome assembly used to map variants.</t>
  </si>
  <si>
    <t>Version of the source database used for gene symbols/IDs (e.g., HGNC version).</t>
  </si>
  <si>
    <t>Version of the gene symbol reference authority</t>
  </si>
  <si>
    <t>Additional gene-level metadata that supports interpretation.</t>
  </si>
  <si>
    <t>Method used to define locus boundaries</t>
  </si>
  <si>
    <t>Provide the explanation of how the identifier was derived</t>
  </si>
  <si>
    <t>Additional information supporting locus interpretation.</t>
  </si>
  <si>
    <t>variant_type</t>
  </si>
  <si>
    <t>variant_information</t>
  </si>
  <si>
    <t>genome_build</t>
  </si>
  <si>
    <t>gene_id_source_version</t>
  </si>
  <si>
    <t>gene_symbol_source_version</t>
  </si>
  <si>
    <t>info</t>
  </si>
  <si>
    <t>locus_type</t>
  </si>
  <si>
    <t>locus_id</t>
  </si>
  <si>
    <t>locus_info</t>
  </si>
  <si>
    <t>lead</t>
  </si>
  <si>
    <t>The primary variant is the variant with the most significant association p-value in the study</t>
  </si>
  <si>
    <t>GRCh38</t>
  </si>
  <si>
    <t>Ensembl v109</t>
  </si>
  <si>
    <t>HGNC 2025-07-30</t>
  </si>
  <si>
    <t>NA</t>
  </si>
  <si>
    <t>lead_variant +/- 500kb</t>
  </si>
  <si>
    <t>lead_variant</t>
  </si>
  <si>
    <t>Locus information</t>
  </si>
  <si>
    <t>significant</t>
  </si>
  <si>
    <t>279 significant associations from GWAS meta-analysis</t>
  </si>
  <si>
    <t>All protein-coding genes within 500 kb of all 279 genome-wide association</t>
  </si>
  <si>
    <t>Unique column name used in the PEG evidence matrix.</t>
  </si>
  <si>
    <t>Free text explanation of the content in this column..</t>
  </si>
  <si>
    <t>Specific analysis stream within the evidence category.</t>
  </si>
  <si>
    <t>Full evidence category name from the controlled list.</t>
  </si>
  <si>
    <t>Short label assigned from the controlled list of evidence categories.</t>
  </si>
  <si>
    <t>Indicates whether the evidence originates from variant-level or gene-level analysis.</t>
  </si>
  <si>
    <t>Identifier for the data source, created in the source tab.</t>
  </si>
  <si>
    <t>Identifier for the analysis method, created in the method tab.</t>
  </si>
  <si>
    <t>Threshold applied to define significance or inclusion criteria.</t>
  </si>
  <si>
    <t>Additional free text clarifications to aid interpretation.</t>
  </si>
  <si>
    <t>column_header</t>
  </si>
  <si>
    <t>column_description</t>
  </si>
  <si>
    <t>evidence_stream_tag</t>
  </si>
  <si>
    <t>evidence_category</t>
  </si>
  <si>
    <t>evidence_category_abbreviation</t>
  </si>
  <si>
    <t>variant_or_gene_centric</t>
  </si>
  <si>
    <t>source_tag</t>
  </si>
  <si>
    <t>method_tag</t>
  </si>
  <si>
    <t>threshold</t>
  </si>
  <si>
    <t>note</t>
  </si>
  <si>
    <t>QTL_eQTL-aorta (p_value)</t>
  </si>
  <si>
    <t>p-value from eQTL analysis in aorta tissue</t>
  </si>
  <si>
    <t>eQTL</t>
  </si>
  <si>
    <t>Molecular QTL</t>
  </si>
  <si>
    <t>QTL</t>
  </si>
  <si>
    <t>variant-centric</t>
  </si>
  <si>
    <t>source_gtex_aorta</t>
  </si>
  <si>
    <t>soft_fastqtl</t>
  </si>
  <si>
    <t>p_value &lt; 0.05</t>
  </si>
  <si>
    <t>GWAS_beta</t>
  </si>
  <si>
    <t>The effect size estimate from GWAS; indicates the direction and magnitude of the allele’s effect on the trait.</t>
  </si>
  <si>
    <t>Genome-wide association (GWAS) signal</t>
  </si>
  <si>
    <t>GWAS_pvalue</t>
  </si>
  <si>
    <t>The p-value of association between the variant and the trait from GWAS.</t>
  </si>
  <si>
    <t>PROX</t>
  </si>
  <si>
    <t>If the gene is the nearest gene to the CAD sentinel variant.</t>
  </si>
  <si>
    <t>Proximity to gene (distance)</t>
  </si>
  <si>
    <t>Summary of the tissue-specific enrichment and functionally-informed fine-mapped for the 127 regions enriched in at least one of the ten enriched CAD-relevant tissues. Enrichments showing a &gt;3SD increment in Bayes Factor (BF) are highlighted in red. 
NULLBF = Bayes Factor under the null model; BESTBFJUMP = maximum increment (i.e. enrichment) observed across the ten tissues; PPA = posterior probability of association; HUVEC = human umbilical vein endothelial cells; HSMM = human skeletal muscle myoblasts.</t>
  </si>
  <si>
    <t>FUNC_VEP_consequence</t>
  </si>
  <si>
    <t>Functional consequence of the variant predicted by Ensembl VEP. This column includes only protein altering consequence.</t>
  </si>
  <si>
    <t>Predicted functional impact</t>
  </si>
  <si>
    <t>soft_vep</t>
  </si>
  <si>
    <t>protein-altering</t>
  </si>
  <si>
    <t>QTL_eQTL_summary</t>
  </si>
  <si>
    <t>Binary indicator of whether there is evidence of a significant eQTL association in any evaluated GTEx or STARNET tissue. A value of 1 indicates that at least one GTEx or STARNET tissue showed a significant eQTL association for the locus/gene; a value of 0 indicates that no significant eQTL association was identified in the evaluated tissues.</t>
  </si>
  <si>
    <t>QTL_eQTL_gtex_Adipose_Subcutaneous_pvalue</t>
  </si>
  <si>
    <t>Nominal P-value for the association between genotype and gene expression in GTEx subcutaneous adipose tissue.</t>
  </si>
  <si>
    <t>source_eqtl_gtex_AdiposeSubcutaneous</t>
  </si>
  <si>
    <t>soft_eqtl</t>
  </si>
  <si>
    <t>FDR&lt;5%</t>
  </si>
  <si>
    <t>eQTL look-ups from CAD-relevant tissues (adipose [subcutaneous, visceral omentum], adrenal gland, artery [aorta, coronary, tibial], liver and whole blood) in GTEx v7. Associations are only shown where the eQTL reached a 5% false-discovery rate threshold and the lead eQTL variant was in high LD (r2≥0.8) with the CAD sentinel variant.  Nominal P values were estimated using a two-tailed t-test.
eQTL = expression quantitative trait locus.</t>
  </si>
  <si>
    <t>QTL_eQTL_gtex_Adipose_Visceral_pvalue</t>
  </si>
  <si>
    <t>Nominal P-value for the association between genotype and gene expression in GTEx visceral adipose tissue.</t>
  </si>
  <si>
    <t>source_eqtl_gtex_AdiposeVisceral</t>
  </si>
  <si>
    <t>QTL_eQTL_gtex_Adipose_Visceral_Omentum_pvalue</t>
  </si>
  <si>
    <t>Nominal P-value for the association between genotype and gene expression in GTEx visceral omentum adipose tissue.</t>
  </si>
  <si>
    <t>source_eqtl_gtex_AdiposeVisceralOmentum</t>
  </si>
  <si>
    <t>QTL_eQTL_gtex_Adrenal_Gland_pvalue</t>
  </si>
  <si>
    <t>Nominal P-value for the association between genotype and gene expression in GTEx adrenal gland tissue.</t>
  </si>
  <si>
    <t>source_eqtl_gtex_AdrenalGland</t>
  </si>
  <si>
    <t>QTL_eQTL_gtex_Artery_Aorta_pvalue</t>
  </si>
  <si>
    <t>Nominal P-value for the association between genotype and gene expression in GTEx aortic artery tissue.</t>
  </si>
  <si>
    <t>source_eqtl_gtex_ArteryAorta</t>
  </si>
  <si>
    <t>QTL_eQTL_gtex_Artery_Coronary_pvalue</t>
  </si>
  <si>
    <t>Nominal P-value for the association between genotype and gene expression in GTEx coronary artery tissue.</t>
  </si>
  <si>
    <t>source_eqtl_gtex_ArteryCoronary</t>
  </si>
  <si>
    <t>QTL_eQTL_gtex_Artery_Tibial_pvalue</t>
  </si>
  <si>
    <t>Nominal P-value for the association between genotype and gene expression in GTEx tibial artery tissue.</t>
  </si>
  <si>
    <t>source_eqtl_gtex_ArteryTibial</t>
  </si>
  <si>
    <t>QTL_eQTL_gtex_Liver_pvalue</t>
  </si>
  <si>
    <t>Nominal P-value for the association between genotype and gene expression in GTEx liver tissue.</t>
  </si>
  <si>
    <t>source_eqtl_gtex_Liver</t>
  </si>
  <si>
    <t>QTL_eQTL_gtex_Whole_Blood_pvalue</t>
  </si>
  <si>
    <t>Nominal P-value for the association between genotype and gene expression in GTEx whole blood.</t>
  </si>
  <si>
    <t>source_eqtl_gtex_WholeBlood</t>
  </si>
  <si>
    <t>QTL_eQTL_STARNET_AOR_adjusted_pvalue</t>
  </si>
  <si>
    <t>Adjusted P-value for the association between genotype and gene expression in atherosclerotic aortic root tissue from STARNET.</t>
  </si>
  <si>
    <t>source_eqtl_starnet_AOR</t>
  </si>
  <si>
    <t>QTL_eQTL_STARNET_BLOOD_adjusted_pvalue</t>
  </si>
  <si>
    <t>Adjusted P-value for the association between genotype and gene expression in blood from STARNET.</t>
  </si>
  <si>
    <t>source_eqtl_starnet_BLOOD</t>
  </si>
  <si>
    <t>QTL_eQTL_STARNET_LIV_adjusted_pvalue</t>
  </si>
  <si>
    <t>Adjusted P-value for the association between genotype and gene expression in liver tissue from STARNET.</t>
  </si>
  <si>
    <t>source_eqtl_starnet_LIV</t>
  </si>
  <si>
    <t>QTL_eQTL_STARNET_MAM_adjusted_pvalue</t>
  </si>
  <si>
    <t>Adjusted P-value for the association between genotype and gene expression in internal mammary artery tissue from STARNET.</t>
  </si>
  <si>
    <t>source_eqtl_starnet_MAM</t>
  </si>
  <si>
    <t>QTL_eQTL_STARNET_SF_adjusted_pvalue</t>
  </si>
  <si>
    <t>Adjusted P-value for the association between genotype and gene expression in subcutaneous fat tissue from STARNET.</t>
  </si>
  <si>
    <t>source_eqtl_starnet_SF</t>
  </si>
  <si>
    <t>QTL_eQTL_STARNET_SKLM_adjusted_pvalue</t>
  </si>
  <si>
    <t>Adjusted P-value for the association between genotype and gene expression in skeletal muscle tissue from STARNET.</t>
  </si>
  <si>
    <t>source_eqtl_starnet_SKLM</t>
  </si>
  <si>
    <t>QTL_eQTL_STARNET_VAF_adjusted_pvalue</t>
  </si>
  <si>
    <t>Adjusted P-value for the association between genotype and gene expression in visceral abdominal fat tissue from STARNET.</t>
  </si>
  <si>
    <t>source_eqtl_starnet_VAF</t>
  </si>
  <si>
    <t>DB_ClinVar</t>
  </si>
  <si>
    <t xml:space="preserve">List of genes in CAD-associated regions for which pathogenic (or likely pathogenic) variants were found in ClinVar for phenotypes and disorders related to CAD. </t>
  </si>
  <si>
    <t>Association from curated database</t>
  </si>
  <si>
    <t>gene-centric</t>
  </si>
  <si>
    <t>source_clinvar</t>
  </si>
  <si>
    <t>method_clinvar</t>
  </si>
  <si>
    <t>The report disease to the gene in the region harbors a variant that ClinVar classifies as having evidence for being pathogenic for a cardiovascular-relevant monogenic disorder</t>
  </si>
  <si>
    <t>LIT_RareVariant</t>
  </si>
  <si>
    <t xml:space="preserve">A gene in the region has been shown to have a rare variant association with CAD in a previous WES or genotyping study </t>
  </si>
  <si>
    <t>Literature curation</t>
  </si>
  <si>
    <t>LIT</t>
  </si>
  <si>
    <t>reviewed the literature for three 
sources of evidence as follows: rare coding variants previously 
associated with CAD, either individually or in aggregate gene-based 
tests, through whole-exome sequencing (WES) or exome array stud-
ies;</t>
  </si>
  <si>
    <t>LIT_MRorDrug</t>
  </si>
  <si>
    <t>A gene in the region has been implicated by an effective drug targeting the protein and/or a positive MR study suggesting a causal effect of the protein on CAD</t>
  </si>
  <si>
    <t>reviewed the literature for three 
sources of evidence as follows: Mendelian randomization (MR) studies of gene expression, 
protein levels or proximal phenotypes that implicate specific genes as 
causal effector genes for CAD and drugs proven to be effective for 
cardiovascular-relevant indications and that target specific proteins 
encoded by genes.</t>
  </si>
  <si>
    <t>PERTURB_mouse_modelId</t>
  </si>
  <si>
    <t>Specifies the mouse model or experimental system used to test gene perturbation effects, particularly those leading to cardiovascular-relevant phenotypes.</t>
  </si>
  <si>
    <t>Perturbation</t>
  </si>
  <si>
    <t>source_perturb_mouse</t>
  </si>
  <si>
    <t>List of cardiovascular-relevant mouse phenotypes for gene knockouts of genes in genome-wide significant association regions. Columns describe the gene (including HGNC and Mouse Genome Informatics IDs), the mouse model ID and description, and the mouse phenotyping ID and description. The table is ordered alphabetically by gene name.</t>
  </si>
  <si>
    <t>PERTURB_mouse_phenotype</t>
  </si>
  <si>
    <t>a gene for which a mouse knock-out has a cardiovascular-relevant phenotype</t>
  </si>
  <si>
    <t>CHROMATIN</t>
  </si>
  <si>
    <t>Chromatin interaction</t>
  </si>
  <si>
    <t>COLOC</t>
  </si>
  <si>
    <t>Colocalisation</t>
  </si>
  <si>
    <t>CROSSP</t>
  </si>
  <si>
    <t>Cross-phenotype</t>
  </si>
  <si>
    <t>DB</t>
  </si>
  <si>
    <t>DRUG</t>
  </si>
  <si>
    <t>Drug related</t>
  </si>
  <si>
    <t>EXP</t>
  </si>
  <si>
    <t>Expression</t>
  </si>
  <si>
    <t>Finemapping and credible sets</t>
  </si>
  <si>
    <t>FUNC</t>
  </si>
  <si>
    <t>GENEBASE</t>
  </si>
  <si>
    <t>Gene-based association</t>
  </si>
  <si>
    <t>GWAS</t>
  </si>
  <si>
    <t>KNOW</t>
  </si>
  <si>
    <t>Biological Knowledge Inference</t>
  </si>
  <si>
    <t>LD</t>
  </si>
  <si>
    <t>Linkage disequilibrium</t>
  </si>
  <si>
    <t>MR</t>
  </si>
  <si>
    <t>Mendelian Randomization (MR)</t>
  </si>
  <si>
    <t>OTHER</t>
  </si>
  <si>
    <t>Other</t>
  </si>
  <si>
    <t>PERTURB</t>
  </si>
  <si>
    <t>PHEWAS</t>
  </si>
  <si>
    <t>PheWAS (Phenome-Wide Association Study)</t>
  </si>
  <si>
    <t>PPI</t>
  </si>
  <si>
    <t>Protein–protein interaction</t>
  </si>
  <si>
    <t>REG</t>
  </si>
  <si>
    <t>Regulatory region</t>
  </si>
  <si>
    <t>SET</t>
  </si>
  <si>
    <t>Pathway or gene sets</t>
  </si>
  <si>
    <t>TPWAS</t>
  </si>
  <si>
    <t>Genetically predicted trait association (TWAS/PWAS)</t>
  </si>
  <si>
    <t>Author-assigned analysis name that can be cited as evidence in the integrated_analysis_name field.</t>
  </si>
  <si>
    <t>Free text explanation of the content in this column.</t>
  </si>
  <si>
    <t>Indicates when values in this column reflect the authors’ conclusions for defining the PEG list. NOTE: only **ONE** column per matrix can be assiged as `True`. We recommend including the string 'author_conclusion' in the appropirate column header.</t>
  </si>
  <si>
    <t>A list of variant-centric or gene-centric evidence stream names combined in the integration.</t>
  </si>
  <si>
    <t>A list of integration_tag values from other integration analyses that are included in this integration analysis</t>
  </si>
  <si>
    <t>Identifier for the analysis method (from Method tab).</t>
  </si>
  <si>
    <t>Extra details to aid interpretation.</t>
  </si>
  <si>
    <t>integration_tag</t>
  </si>
  <si>
    <t>author_conclusion</t>
  </si>
  <si>
    <t>evidence_streams_included</t>
  </si>
  <si>
    <t>integrations_included</t>
  </si>
  <si>
    <t>pops</t>
  </si>
  <si>
    <t>INT_pops</t>
  </si>
  <si>
    <t>Integrated score based on multiple evidence types for the gene</t>
  </si>
  <si>
    <t>TRUE</t>
  </si>
  <si>
    <t>FUNC | eQTL | pQTL | FM | 3d |PHEWAS |TWAS</t>
  </si>
  <si>
    <t>pops | flames</t>
  </si>
  <si>
    <t>soft_pops</t>
  </si>
  <si>
    <t>0.05</t>
  </si>
  <si>
    <t>pops_500</t>
  </si>
  <si>
    <t>INT_PoPS_500kb_score</t>
  </si>
  <si>
    <t>PoPS score for all genes within a 500kb window of each of the 279 sentinel genome-wide significant associations with CAD</t>
  </si>
  <si>
    <t xml:space="preserve"> gene with highest PoPS score within 500kb of sentinel.              </t>
  </si>
  <si>
    <t>INT_PoPS_500kb_rank</t>
  </si>
  <si>
    <t>PoPS association-specific rank for all genes within a 500kb window of each of the 279 sentinel genome-wide significant associations with CAD</t>
  </si>
  <si>
    <t>INT_PoPS_500kb_summary</t>
  </si>
  <si>
    <t>Binary indicator of PoPS support. Equals 1 if the gene is ranked among the top 2 PoPS-prioritized genes within ±500 kb of the locus, providing positive evidence that the gene may be causal; otherwise 0.</t>
  </si>
  <si>
    <t>n_predictors</t>
  </si>
  <si>
    <t>INT_n_predictors</t>
  </si>
  <si>
    <t>Number of evidence streams supporting the variant-gene pair for the phenotype.</t>
  </si>
  <si>
    <t>PROX | QTL | FUNC | LIT | PERTURB | DB</t>
  </si>
  <si>
    <t>method_customised</t>
  </si>
  <si>
    <t>Unweighted count of the eight evidence predictors described by the publication.</t>
  </si>
  <si>
    <t>INT_author_conclusion</t>
  </si>
  <si>
    <t>Whether this variant-gene pair appears in the 44-gene display subset in Aragam et al. Figure 5b.</t>
  </si>
  <si>
    <t>Displayed in Figure 5b: at least four agreeing predictors; one sentinel association shown per gene.</t>
  </si>
  <si>
    <t>Unique identifier for the source.</t>
  </si>
  <si>
    <t>Provenance type indicating the origin of the data source. Use lab_internal for unpublished data generated by your lab. Use publication for published data not deposited in a repository. Use the official name of the resource (e.g., GTEx, ENCODE).</t>
  </si>
  <si>
    <t>Exact filename of the source dataset.</t>
  </si>
  <si>
    <t>Version or release of the dataset.</t>
  </si>
  <si>
    <t>Web link to the source file used in the analysis.</t>
  </si>
  <si>
    <t>Accession identifier if the source file comes from the repository.</t>
  </si>
  <si>
    <t>DOI for the publication containing the source file.</t>
  </si>
  <si>
    <t>Extra details to aid interpretation of the source.</t>
  </si>
  <si>
    <t>Biological origin of the sample (e.g., primary-tissue, organoid, cell-line, iPSC-derived).</t>
  </si>
  <si>
    <t>Primary tissue sampled (detailed anatomical location).</t>
  </si>
  <si>
    <t>Specific cell type, if applicable.</t>
  </si>
  <si>
    <t>Cell line name if sample_origin is "cell-line".</t>
  </si>
  <si>
    <t>Disease status of the donor or sample.</t>
  </si>
  <si>
    <t>Developmental stage of the biosample.</t>
  </si>
  <si>
    <t>Treatments or perturbations applied prior to or during data generation.</t>
  </si>
  <si>
    <t>Sex composition of samples.</t>
  </si>
  <si>
    <t>Species of the sample.</t>
  </si>
  <si>
    <t>Brief summary of sample characteristics and intended use.</t>
  </si>
  <si>
    <t>provenance</t>
  </si>
  <si>
    <t>file_name</t>
  </si>
  <si>
    <t>version</t>
  </si>
  <si>
    <t>url</t>
  </si>
  <si>
    <t>accession_id</t>
  </si>
  <si>
    <t>doi</t>
  </si>
  <si>
    <t>sample_origin</t>
  </si>
  <si>
    <t>tissue</t>
  </si>
  <si>
    <t>cell_type</t>
  </si>
  <si>
    <t>cell_line</t>
  </si>
  <si>
    <t>disease</t>
  </si>
  <si>
    <t>life_stage</t>
  </si>
  <si>
    <t>treatment</t>
  </si>
  <si>
    <t>sex</t>
  </si>
  <si>
    <t>species</t>
  </si>
  <si>
    <t>description</t>
  </si>
  <si>
    <t>GTEx</t>
  </si>
  <si>
    <t>GTEx_Analysis_2017-06-05_v8_RNASeQCv1.1.9_gene_tpm.gct.gz</t>
  </si>
  <si>
    <t>v8</t>
  </si>
  <si>
    <t>https://gtexportal.org/</t>
  </si>
  <si>
    <t>GSE123456</t>
  </si>
  <si>
    <t>10.1038/s41586-020-2493-4</t>
  </si>
  <si>
    <t>The analysis includes only samples from individuals aged 20–29.</t>
  </si>
  <si>
    <t>primary-tissue</t>
  </si>
  <si>
    <t>aorta</t>
  </si>
  <si>
    <t>alpha cells</t>
  </si>
  <si>
    <t>K562</t>
  </si>
  <si>
    <t>healthy</t>
  </si>
  <si>
    <t>adult</t>
  </si>
  <si>
    <t>anti-IgM treated</t>
  </si>
  <si>
    <t>mixed</t>
  </si>
  <si>
    <t>human</t>
  </si>
  <si>
    <t>Bulk pancreas tissue samples from healthy postmortem adult human donors in GTEx v10. Used for eQTL discovery. Samples span male and female donors aged approximately 20–70 years. No treatment applied.</t>
  </si>
  <si>
    <t>source_ukbb</t>
  </si>
  <si>
    <t>UK Biobank</t>
  </si>
  <si>
    <t>https://doi.org/10.1038/s41586-018-0579-z</t>
  </si>
  <si>
    <t>UK Biobank (UKB) is a prospective study of approximately 500,000 individuals comprising
members of the UK population aged 40-69 collected from multiple sites across the United
Kingdom from 2006-2010 (14).</t>
  </si>
  <si>
    <t>IMPC</t>
  </si>
  <si>
    <t>http://www.mousephenotype.org</t>
  </si>
  <si>
    <t>Mouse Genome Informatics database</t>
  </si>
  <si>
    <t>http://www.informatics.jax.org</t>
  </si>
  <si>
    <t xml:space="preserve">ClinVar </t>
  </si>
  <si>
    <t>https://www.ncbi.nlm.nih.gov/clinvar/</t>
  </si>
  <si>
    <t>v7</t>
  </si>
  <si>
    <t>https://www.gtexportal.org/home/datasets</t>
  </si>
  <si>
    <t>Adipose Subcutaneous</t>
  </si>
  <si>
    <t>Adipose Visceral</t>
  </si>
  <si>
    <t>Adipose Visceral Omentum</t>
  </si>
  <si>
    <t>Adrenal Gland</t>
  </si>
  <si>
    <t>Artery Aorta</t>
  </si>
  <si>
    <t>Artery Coronary</t>
  </si>
  <si>
    <t>Artery Tibial</t>
  </si>
  <si>
    <t>Liver</t>
  </si>
  <si>
    <t>Whole Blood</t>
  </si>
  <si>
    <t>STARNET</t>
  </si>
  <si>
    <t>10.1126/science.aad6970</t>
  </si>
  <si>
    <t>Atherosclerotic Aortic Root</t>
  </si>
  <si>
    <t>STARNET tissue from donors with coronary artery disease.</t>
  </si>
  <si>
    <t>Blood</t>
  </si>
  <si>
    <t>Atherosclerotic-lesion-free Internal Mammary Artery</t>
  </si>
  <si>
    <t>Subcutaneous Fat</t>
  </si>
  <si>
    <t>Skeletal Muscle</t>
  </si>
  <si>
    <t>Visceral Abdominal Fat</t>
  </si>
  <si>
    <t>Unique identifier for the method, used in the PEG evidence and integration metadata.</t>
  </si>
  <si>
    <t>Specifies whether the method is a published software tool or a manual approach.</t>
  </si>
  <si>
    <t xml:space="preserve">Manual assertion:ECO_0000218; Automatic assertion:ECO_0000203;Manually integrated combinatorial evidence: ECO_0007674;Automatically integrated combinatorial evidence: ECO_0007673 </t>
  </si>
  <si>
    <t>Name of the software used.</t>
  </si>
  <si>
    <t>Version of the software used.</t>
  </si>
  <si>
    <t>Link to the official software resource.</t>
  </si>
  <si>
    <t>DOI of the software or associated publication.</t>
  </si>
  <si>
    <t>Detailed description of the method, workflow, or customisation applied.</t>
  </si>
  <si>
    <t>method_mode</t>
  </si>
  <si>
    <t>method_mode_ontology_term_id</t>
  </si>
  <si>
    <t>software_name</t>
  </si>
  <si>
    <t>software_version</t>
  </si>
  <si>
    <t>software_url</t>
  </si>
  <si>
    <t>software_doi</t>
  </si>
  <si>
    <t>method_description</t>
  </si>
  <si>
    <t>software</t>
  </si>
  <si>
    <t>ECO_0000203</t>
  </si>
  <si>
    <t>FastQTL</t>
  </si>
  <si>
    <t>v1.0</t>
  </si>
  <si>
    <t>https://github.com/francois-a/fastqtl</t>
  </si>
  <si>
    <t>10.1093/BIOINFORMATICS/BTV722</t>
  </si>
  <si>
    <t>Custom scoring model combining eQTL and chromatin interaction data.</t>
  </si>
  <si>
    <t>Ensembl VEP</t>
  </si>
  <si>
    <t>v96.0</t>
  </si>
  <si>
    <t>https://www.ensembl.org/info/docs/tools/vep/index.html</t>
  </si>
  <si>
    <t>soft_fgwas</t>
  </si>
  <si>
    <t>fgwas</t>
  </si>
  <si>
    <t>https://github.com/joepickrell/fgwas</t>
  </si>
  <si>
    <t xml:space="preserve">We cross-referenced the sentinel CAD variants and their proxies (r2≥0.8) with STARNET eQTLs
reaching a 5% FDR for all tissues. To ensure the CAD association and eQTL are likely to be
driven by the same causal variant, we retained only those eQTLs where the CAD-associated
variant and the lead eQTL variant had r2≥0.8 among European ancestry participants from UK
Biobank. </t>
  </si>
  <si>
    <t>soft_phewas</t>
  </si>
  <si>
    <t>For disease phenotypes, we performed logistic
regression adjusted for age, sex, genotyping array, and the first five principal components. An
association with a disease phenotype was deemed significant at a Bonferroni-corrected threshold
of p-value&lt;3.4x10-6 (53 diseases x 279 genetic variants). Continuous phenotypes were
residualized after adjusting for age, sex, genotyping array, and the first five principal components;
linear regression was performed on residuals following inverse-normal transformation</t>
  </si>
  <si>
    <t>soft_skato</t>
  </si>
  <si>
    <t>ECO_0007674</t>
  </si>
  <si>
    <t>PoPS</t>
  </si>
  <si>
    <t>https://doi.org/10.1101/2020.09.08.20190561</t>
  </si>
  <si>
    <t>manual</t>
  </si>
  <si>
    <t>To systematically prioritize likely causal genes for all 279 genome-wide associations, we integrated the following eight of the aforementioned similarity-based or locus-based predictors of causal genes: (1) the top two prioritized genes from PoPS; (2) genes with eQTLs in CAD-relevant tissues from STARNET or GTEx; (3) genes containing protein-altering variants that are in strong LD (r2 ≥ 0.8) with the CAD sentinel variant; (4) genes harboring variants responsible for monogenic disorders of cardiovascular relevance according to ClinVar; (5) genes containing rare coding variants that have been associated with CAD risk in previous WES or array-based studies; (6) genes encoding proteins of causal relevance to CAD per MR studies or that are targets for established cardiovascular drugs; (7) genes that display cardiovascular-relevant phenotypes in knock-out mice from the International Mouse Phenotyping Consortium or Mouse Genome Informatics database; and (8) the nearest gene to the CAD sentinel variant (Fig. 5a). We prioritized the most likely ‘causal gene’ for each association using a consensus-based approach, selecting the gene with the highest, unweighted sum of evidence across all eight predictors.</t>
  </si>
  <si>
    <t>ECO_0000218</t>
  </si>
  <si>
    <t>Genes associated with cardiovascular-related pathogenic or likely pathogenic variants in ClinVar within ±500 kb of CAD sentinel variants. Variants linked to multiple genes were assigned to all associated genes.</t>
  </si>
  <si>
    <t>FM</t>
  </si>
  <si>
    <t>GCST90132315</t>
  </si>
  <si>
    <t>GRCh37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</si>
</sst>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sz val="11"/>
      <color rgb="FF8E8E8E"/>
      <name val="Calibri"/>
      <family val="2"/>
    </font>
    <font>
      <b/>
      <sz val="11"/>
      <color theme="1"/>
      <name val="Calibri"/>
      <family val="2"/>
    </font>
    <font>
      <sz val="11"/>
      <color rgb="FFB7B7B7"/>
      <name val="Calibri"/>
      <family val="2"/>
    </font>
    <font>
      <sz val="10"/>
      <color theme="1"/>
      <name val="Calibri"/>
      <family val="2"/>
    </font>
    <font>
      <sz val="11"/>
      <color theme="1"/>
      <name val="Calibri"/>
      <family val="2"/>
    </font>
    <font>
      <sz val="10"/>
      <color theme="1"/>
      <name val="Arial"/>
      <family val="2"/>
    </font>
    <font>
      <sz val="10"/>
      <color rgb="FF000000"/>
      <name val="Arial"/>
      <family val="2"/>
    </font>
    <font>
      <sz val="11"/>
      <color rgb="FF000000"/>
      <name val="Calibri"/>
      <family val="2"/>
    </font>
    <font>
      <sz val="10"/>
      <color theme="1"/>
      <name val="Arimo"/>
    </font>
    <font>
      <sz val="11"/>
      <color theme="1"/>
      <name val="Calibri"/>
      <family val="2"/>
    </font>
    <font>
      <sz val="11"/>
      <color theme="1"/>
      <name val="Arial"/>
      <family val="2"/>
    </font>
    <font>
      <sz val="10"/>
      <color rgb="FFFF9900"/>
      <name val="Arial"/>
      <family val="2"/>
    </font>
    <font>
      <sz val="11"/>
      <color rgb="FFB7B7B7"/>
      <name val="Calibri"/>
      <family val="2"/>
    </font>
    <font>
      <sz val="11"/>
      <color theme="10"/>
      <name val="Calibri"/>
      <family val="2"/>
    </font>
  </fonts>
  <fills count="5">
    <fill>
      <patternFill patternType="none"/>
    </fill>
    <fill>
      <patternFill patternType="gray125"/>
    </fill>
    <fill>
      <patternFill patternType="solid">
        <fgColor rgb="FFF2F2F2"/>
      </patternFill>
    </fill>
    <fill>
      <patternFill patternType="solid">
        <fgColor rgb="FFF8CBAD"/>
      </patternFill>
    </fill>
    <fill>
      <patternFill patternType="solid">
        <fgColor rgb="FFE7E6E6"/>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left" vertical="center" wrapText="1"/>
    </xf>
    <xf numFmtId="0" fontId="2" fillId="3" borderId="1" xfId="0" applyFont="1" applyFill="1" applyBorder="1" applyAlignment="1">
      <alignment horizontal="left" vertical="center"/>
    </xf>
    <xf numFmtId="0" fontId="2" fillId="4" borderId="1" xfId="0" applyFont="1" applyFill="1" applyBorder="1" applyAlignment="1">
      <alignment horizontal="left" vertical="center"/>
    </xf>
    <xf numFmtId="0" fontId="3" fillId="0" borderId="2" xfId="0" applyFont="1" applyBorder="1" applyAlignment="1">
      <alignment horizontal="left" vertical="center" wrapText="1"/>
    </xf>
    <xf numFmtId="0" fontId="4" fillId="0" borderId="0" xfId="0" applyFont="1" applyAlignment="1">
      <alignment wrapText="1"/>
    </xf>
    <xf numFmtId="0" fontId="5" fillId="0" borderId="0" xfId="0" applyFont="1" applyAlignment="1">
      <alignment vertical="center"/>
    </xf>
    <xf numFmtId="0" fontId="6" fillId="0" borderId="0" xfId="0" applyFont="1"/>
    <xf numFmtId="0" fontId="7" fillId="0" borderId="0" xfId="0" applyFont="1"/>
    <xf numFmtId="0" fontId="6" fillId="0" borderId="0" xfId="0" applyFont="1" applyAlignment="1">
      <alignment wrapText="1"/>
    </xf>
    <xf numFmtId="0" fontId="5" fillId="0" borderId="0" xfId="0" applyFont="1" applyAlignment="1">
      <alignment vertical="center" wrapText="1"/>
    </xf>
    <xf numFmtId="0" fontId="8" fillId="0" borderId="0" xfId="0" applyFont="1" applyAlignment="1">
      <alignment vertical="center"/>
    </xf>
    <xf numFmtId="0" fontId="5"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0" fillId="0" borderId="0" xfId="0" applyFont="1" applyAlignment="1">
      <alignment wrapText="1"/>
    </xf>
    <xf numFmtId="0" fontId="13" fillId="0" borderId="2" xfId="0" applyFont="1" applyBorder="1" applyAlignment="1">
      <alignment horizontal="left" vertical="center" wrapText="1"/>
    </xf>
    <xf numFmtId="0" fontId="14" fillId="0" borderId="0" xfId="0" applyFont="1"/>
    <xf numFmtId="15" fontId="5" fillId="0" borderId="0" xfId="0" applyNumberFormat="1" applyFont="1" applyAlignment="1">
      <alignment wrapText="1"/>
    </xf>
    <xf numFmtId="0" fontId="7"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8" Type="http://schemas.openxmlformats.org/officeDocument/2006/relationships/hyperlink" Target="https://doi.org/10.1126/science.aad6970" TargetMode="External"/><Relationship Id="rId3" Type="http://schemas.openxmlformats.org/officeDocument/2006/relationships/hyperlink" Target="http://www.informatics.jax.org/" TargetMode="External"/><Relationship Id="rId7" Type="http://schemas.openxmlformats.org/officeDocument/2006/relationships/hyperlink" Target="https://doi.org/10.1126/science.aad6970" TargetMode="External"/><Relationship Id="rId2" Type="http://schemas.openxmlformats.org/officeDocument/2006/relationships/hyperlink" Target="http://www.mousephenotype.org/" TargetMode="External"/><Relationship Id="rId1" Type="http://schemas.openxmlformats.org/officeDocument/2006/relationships/hyperlink" Target="https://gtexportal.org/" TargetMode="External"/><Relationship Id="rId6" Type="http://schemas.openxmlformats.org/officeDocument/2006/relationships/hyperlink" Target="https://doi.org/10.1126/science.aad6970" TargetMode="External"/><Relationship Id="rId5" Type="http://schemas.openxmlformats.org/officeDocument/2006/relationships/hyperlink" Target="https://doi.org/10.1126/science.aad6970" TargetMode="External"/><Relationship Id="rId10" Type="http://schemas.openxmlformats.org/officeDocument/2006/relationships/hyperlink" Target="https://doi.org/10.1126/science.aad6970" TargetMode="External"/><Relationship Id="rId4" Type="http://schemas.openxmlformats.org/officeDocument/2006/relationships/hyperlink" Target="https://doi.org/10.1126/science.aad6970" TargetMode="External"/><Relationship Id="rId9" Type="http://schemas.openxmlformats.org/officeDocument/2006/relationships/hyperlink" Target="https://doi.org/10.1126/science.aad6970"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francois-a/fastqt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C4" sqref="C4"/>
    </sheetView>
  </sheetViews>
  <sheetFormatPr baseColWidth="10" defaultColWidth="14.5" defaultRowHeight="15"/>
  <cols>
    <col min="1" max="2" width="19.6640625" customWidth="1"/>
    <col min="3" max="3" width="14.6640625" customWidth="1"/>
    <col min="4" max="4" width="17.6640625" customWidth="1"/>
    <col min="5" max="5" width="26.6640625" customWidth="1"/>
    <col min="6" max="6" width="18.6640625" customWidth="1"/>
    <col min="7" max="7" width="25.6640625" customWidth="1"/>
    <col min="8" max="8" width="22.6640625" customWidth="1"/>
    <col min="9" max="9" width="28.6640625" customWidth="1"/>
    <col min="10" max="26" width="8.83203125" customWidth="1"/>
  </cols>
  <sheetData>
    <row r="1" spans="1:26" ht="74.75" customHeight="1">
      <c r="A1" s="1" t="s">
        <v>0</v>
      </c>
      <c r="B1" s="1" t="s">
        <v>1</v>
      </c>
      <c r="C1" s="1" t="s">
        <v>2</v>
      </c>
      <c r="D1" s="1" t="s">
        <v>3</v>
      </c>
      <c r="E1" s="1" t="s">
        <v>4</v>
      </c>
      <c r="F1" s="1" t="s">
        <v>5</v>
      </c>
      <c r="G1" s="1" t="s">
        <v>6</v>
      </c>
      <c r="H1" s="1" t="s">
        <v>7</v>
      </c>
      <c r="I1" s="1" t="s">
        <v>8</v>
      </c>
    </row>
    <row r="2" spans="1:26" ht="38.75" customHeight="1">
      <c r="A2" s="2" t="s">
        <v>9</v>
      </c>
      <c r="B2" s="3" t="s">
        <v>10</v>
      </c>
      <c r="C2" s="3" t="s">
        <v>11</v>
      </c>
      <c r="D2" s="3" t="s">
        <v>12</v>
      </c>
      <c r="E2" s="3" t="s">
        <v>13</v>
      </c>
      <c r="F2" s="3" t="s">
        <v>14</v>
      </c>
      <c r="G2" s="3" t="s">
        <v>15</v>
      </c>
      <c r="H2" s="3" t="s">
        <v>16</v>
      </c>
      <c r="I2" s="3" t="s">
        <v>17</v>
      </c>
    </row>
    <row r="3" spans="1:26" ht="64" customHeight="1">
      <c r="A3" s="4" t="s">
        <v>18</v>
      </c>
      <c r="B3" s="4" t="s">
        <v>19</v>
      </c>
      <c r="C3" s="4" t="s">
        <v>20</v>
      </c>
      <c r="D3" s="4" t="s">
        <v>21</v>
      </c>
      <c r="E3" s="4" t="s">
        <v>22</v>
      </c>
      <c r="F3" s="4">
        <v>6136</v>
      </c>
      <c r="G3" s="4" t="b">
        <v>0</v>
      </c>
      <c r="H3" s="4" t="s">
        <v>23</v>
      </c>
      <c r="I3" s="4" t="s">
        <v>24</v>
      </c>
    </row>
    <row r="4" spans="1:26" ht="32" customHeight="1">
      <c r="A4" s="5" t="s">
        <v>25</v>
      </c>
      <c r="B4" s="5" t="s">
        <v>26</v>
      </c>
      <c r="C4" s="6" t="s">
        <v>27</v>
      </c>
      <c r="D4" s="5" t="s">
        <v>368</v>
      </c>
      <c r="E4" s="6"/>
      <c r="F4" s="6"/>
      <c r="G4" s="6"/>
      <c r="H4" s="6"/>
      <c r="I4" s="6"/>
      <c r="J4" s="6"/>
      <c r="K4" s="6"/>
      <c r="L4" s="6"/>
      <c r="M4" s="6"/>
      <c r="N4" s="6"/>
      <c r="O4" s="6"/>
      <c r="P4" s="6"/>
      <c r="Q4" s="6"/>
      <c r="R4" s="6"/>
      <c r="S4" s="6"/>
      <c r="T4" s="6"/>
      <c r="U4" s="6"/>
      <c r="V4" s="6"/>
      <c r="W4" s="6"/>
      <c r="X4" s="6"/>
      <c r="Y4" s="6"/>
      <c r="Z4" s="6"/>
    </row>
    <row r="5" spans="1:26" ht="32" customHeight="1">
      <c r="A5" s="6"/>
      <c r="B5" s="6"/>
      <c r="C5" s="6"/>
      <c r="D5" s="6"/>
      <c r="E5" s="6"/>
      <c r="F5" s="6"/>
      <c r="G5" s="6"/>
      <c r="H5" s="6"/>
      <c r="I5" s="6"/>
      <c r="J5" s="6"/>
      <c r="K5" s="6"/>
      <c r="L5" s="6"/>
      <c r="M5" s="6"/>
      <c r="N5" s="6"/>
      <c r="O5" s="6"/>
      <c r="P5" s="6"/>
      <c r="Q5" s="6"/>
      <c r="R5" s="6"/>
      <c r="S5" s="6"/>
      <c r="T5" s="6"/>
      <c r="U5" s="6"/>
      <c r="V5" s="6"/>
      <c r="W5" s="6"/>
      <c r="X5" s="6"/>
      <c r="Y5" s="6"/>
      <c r="Z5" s="6"/>
    </row>
    <row r="6" spans="1:26" ht="32" customHeight="1">
      <c r="A6" s="6"/>
      <c r="B6" s="6"/>
      <c r="C6" s="6"/>
      <c r="D6" s="6"/>
      <c r="E6" s="6"/>
      <c r="F6" s="6"/>
      <c r="G6" s="6"/>
      <c r="H6" s="6"/>
      <c r="I6" s="6"/>
      <c r="J6" s="6"/>
      <c r="K6" s="6"/>
      <c r="L6" s="6"/>
      <c r="M6" s="6"/>
      <c r="N6" s="6"/>
      <c r="O6" s="6"/>
      <c r="P6" s="6"/>
      <c r="Q6" s="6"/>
      <c r="R6" s="6"/>
      <c r="S6" s="6"/>
      <c r="T6" s="6"/>
      <c r="U6" s="6"/>
      <c r="V6" s="6"/>
      <c r="W6" s="6"/>
      <c r="X6" s="6"/>
      <c r="Y6" s="6"/>
      <c r="Z6" s="6"/>
    </row>
    <row r="7" spans="1:26" ht="32" customHeight="1">
      <c r="A7" s="6"/>
      <c r="B7" s="6"/>
      <c r="C7" s="6"/>
      <c r="D7" s="6"/>
      <c r="E7" s="6"/>
      <c r="F7" s="6"/>
      <c r="G7" s="6"/>
      <c r="H7" s="6"/>
      <c r="I7" s="6"/>
      <c r="J7" s="6"/>
      <c r="K7" s="6"/>
      <c r="L7" s="6"/>
      <c r="M7" s="6"/>
      <c r="N7" s="6"/>
      <c r="O7" s="6"/>
      <c r="P7" s="6"/>
      <c r="Q7" s="6"/>
      <c r="R7" s="6"/>
      <c r="S7" s="6"/>
      <c r="T7" s="6"/>
      <c r="U7" s="6"/>
      <c r="V7" s="6"/>
      <c r="W7" s="6"/>
      <c r="X7" s="6"/>
      <c r="Y7" s="6"/>
      <c r="Z7" s="6"/>
    </row>
    <row r="8" spans="1:26" ht="32" customHeight="1">
      <c r="A8" s="6"/>
      <c r="B8" s="6"/>
      <c r="C8" s="6"/>
      <c r="D8" s="6"/>
      <c r="E8" s="6"/>
      <c r="F8" s="6"/>
      <c r="G8" s="6"/>
      <c r="H8" s="6"/>
      <c r="I8" s="6"/>
      <c r="J8" s="6"/>
      <c r="K8" s="6"/>
      <c r="L8" s="6"/>
      <c r="M8" s="6"/>
      <c r="N8" s="6"/>
      <c r="O8" s="6"/>
      <c r="P8" s="6"/>
      <c r="Q8" s="6"/>
      <c r="R8" s="6"/>
      <c r="S8" s="6"/>
      <c r="T8" s="6"/>
      <c r="U8" s="6"/>
      <c r="V8" s="6"/>
      <c r="W8" s="6"/>
      <c r="X8" s="6"/>
      <c r="Y8" s="6"/>
      <c r="Z8" s="6"/>
    </row>
    <row r="9" spans="1:26" ht="32" customHeight="1">
      <c r="A9" s="6"/>
      <c r="B9" s="6"/>
      <c r="C9" s="6"/>
      <c r="D9" s="6"/>
      <c r="E9" s="6"/>
      <c r="F9" s="6"/>
      <c r="G9" s="6"/>
      <c r="H9" s="6"/>
      <c r="I9" s="6"/>
      <c r="J9" s="6"/>
      <c r="K9" s="6"/>
      <c r="L9" s="6"/>
      <c r="M9" s="6"/>
      <c r="N9" s="6"/>
      <c r="O9" s="6"/>
      <c r="P9" s="6"/>
      <c r="Q9" s="6"/>
      <c r="R9" s="6"/>
      <c r="S9" s="6"/>
      <c r="T9" s="6"/>
      <c r="U9" s="6"/>
      <c r="V9" s="6"/>
      <c r="W9" s="6"/>
      <c r="X9" s="6"/>
      <c r="Y9" s="6"/>
      <c r="Z9" s="6"/>
    </row>
    <row r="10" spans="1:26" ht="32"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ht="32"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ht="32"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32"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32"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32"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32"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32"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32"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32"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32"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32"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32"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32"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32"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1">
    <dataValidation type="list" allowBlank="1" showErrorMessage="1" sqref="G4:G200" xr:uid="{00000000-0002-0000-0000-000000000000}">
      <formula1>"TRUE,FALSE"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workbookViewId="0">
      <selection activeCell="C5" sqref="C5"/>
    </sheetView>
  </sheetViews>
  <sheetFormatPr baseColWidth="10" defaultColWidth="14.5" defaultRowHeight="15"/>
  <cols>
    <col min="1" max="2" width="14.6640625" customWidth="1"/>
    <col min="3" max="3" width="21.6640625" customWidth="1"/>
    <col min="4" max="4" width="24.6640625" customWidth="1"/>
    <col min="5" max="5" width="28.6640625" customWidth="1"/>
    <col min="6" max="6" width="17.6640625" customWidth="1"/>
    <col min="7" max="8" width="16.6640625" customWidth="1"/>
    <col min="9" max="9" width="17.6640625" customWidth="1"/>
    <col min="10" max="26" width="8.83203125" customWidth="1"/>
  </cols>
  <sheetData>
    <row r="1" spans="1:26" ht="74.75" customHeight="1">
      <c r="A1" s="1" t="s">
        <v>28</v>
      </c>
      <c r="B1" s="1" t="s">
        <v>29</v>
      </c>
      <c r="C1" s="1" t="s">
        <v>30</v>
      </c>
      <c r="D1" s="1" t="s">
        <v>31</v>
      </c>
      <c r="E1" s="1" t="s">
        <v>32</v>
      </c>
      <c r="F1" s="1" t="s">
        <v>33</v>
      </c>
      <c r="G1" s="1" t="s">
        <v>34</v>
      </c>
      <c r="H1" s="1" t="s">
        <v>35</v>
      </c>
      <c r="I1" s="1" t="s">
        <v>36</v>
      </c>
    </row>
    <row r="2" spans="1:26" ht="38.75" customHeight="1">
      <c r="A2" s="3" t="s">
        <v>37</v>
      </c>
      <c r="B2" s="2" t="s">
        <v>38</v>
      </c>
      <c r="C2" s="3" t="s">
        <v>39</v>
      </c>
      <c r="D2" s="3" t="s">
        <v>40</v>
      </c>
      <c r="E2" s="3" t="s">
        <v>41</v>
      </c>
      <c r="F2" s="3" t="s">
        <v>42</v>
      </c>
      <c r="G2" s="3" t="s">
        <v>43</v>
      </c>
      <c r="H2" s="3" t="s">
        <v>44</v>
      </c>
      <c r="I2" s="3" t="s">
        <v>45</v>
      </c>
    </row>
    <row r="3" spans="1:26" ht="64" customHeight="1">
      <c r="A3" s="4" t="s">
        <v>46</v>
      </c>
      <c r="B3" s="4" t="s">
        <v>47</v>
      </c>
      <c r="C3" s="4" t="s">
        <v>48</v>
      </c>
      <c r="D3" s="4" t="s">
        <v>49</v>
      </c>
      <c r="E3" s="4" t="s">
        <v>50</v>
      </c>
      <c r="F3" s="4" t="s">
        <v>51</v>
      </c>
      <c r="G3" s="4" t="s">
        <v>52</v>
      </c>
      <c r="H3" s="4" t="s">
        <v>53</v>
      </c>
      <c r="I3" s="4" t="s">
        <v>54</v>
      </c>
    </row>
    <row r="4" spans="1:26" ht="32" customHeight="1">
      <c r="A4" s="6" t="s">
        <v>55</v>
      </c>
      <c r="B4" s="6" t="s">
        <v>56</v>
      </c>
      <c r="C4" s="6" t="s">
        <v>369</v>
      </c>
      <c r="D4" s="6"/>
      <c r="E4" s="6"/>
      <c r="F4" s="7" t="s">
        <v>57</v>
      </c>
      <c r="G4" s="6"/>
      <c r="H4" s="6"/>
      <c r="I4" s="6"/>
      <c r="J4" s="6"/>
      <c r="K4" s="6"/>
      <c r="L4" s="6"/>
      <c r="M4" s="6"/>
      <c r="N4" s="6"/>
      <c r="O4" s="6"/>
      <c r="P4" s="6"/>
      <c r="Q4" s="6"/>
      <c r="R4" s="6"/>
      <c r="S4" s="6"/>
      <c r="T4" s="6"/>
      <c r="U4" s="6"/>
      <c r="V4" s="6"/>
      <c r="W4" s="6"/>
      <c r="X4" s="6"/>
      <c r="Y4" s="6"/>
      <c r="Z4" s="6"/>
    </row>
    <row r="5" spans="1:26" ht="32" customHeight="1">
      <c r="A5" s="6"/>
      <c r="B5" s="6"/>
      <c r="C5" s="6"/>
      <c r="D5" s="6"/>
      <c r="E5" s="6"/>
      <c r="F5" s="6"/>
      <c r="G5" s="6"/>
      <c r="H5" s="6"/>
      <c r="I5" s="6"/>
      <c r="J5" s="6"/>
      <c r="K5" s="6"/>
      <c r="L5" s="6"/>
      <c r="M5" s="6"/>
      <c r="N5" s="6"/>
      <c r="O5" s="6"/>
      <c r="P5" s="6"/>
      <c r="Q5" s="6"/>
      <c r="R5" s="6"/>
      <c r="S5" s="6"/>
      <c r="T5" s="6"/>
      <c r="U5" s="6"/>
      <c r="V5" s="6"/>
      <c r="W5" s="6"/>
      <c r="X5" s="6"/>
      <c r="Y5" s="6"/>
      <c r="Z5" s="6"/>
    </row>
    <row r="6" spans="1:26" ht="32" customHeight="1">
      <c r="A6" s="6"/>
      <c r="B6" s="6"/>
      <c r="C6" s="6"/>
      <c r="D6" s="6"/>
      <c r="E6" s="6"/>
      <c r="F6" s="6"/>
      <c r="G6" s="6"/>
      <c r="H6" s="6"/>
      <c r="I6" s="6"/>
      <c r="J6" s="6"/>
      <c r="K6" s="6"/>
      <c r="L6" s="6"/>
      <c r="M6" s="6"/>
      <c r="N6" s="6"/>
      <c r="O6" s="6"/>
      <c r="P6" s="6"/>
      <c r="Q6" s="6"/>
      <c r="R6" s="6"/>
      <c r="S6" s="6"/>
      <c r="T6" s="6"/>
      <c r="U6" s="6"/>
      <c r="V6" s="6"/>
      <c r="W6" s="6"/>
      <c r="X6" s="6"/>
      <c r="Y6" s="6"/>
      <c r="Z6" s="6"/>
    </row>
    <row r="7" spans="1:26" ht="32" customHeight="1">
      <c r="A7" s="6"/>
      <c r="B7" s="6"/>
      <c r="C7" s="6"/>
      <c r="D7" s="6"/>
      <c r="E7" s="6"/>
      <c r="F7" s="6"/>
      <c r="G7" s="6"/>
      <c r="H7" s="6"/>
      <c r="I7" s="6"/>
      <c r="J7" s="6"/>
      <c r="K7" s="6"/>
      <c r="L7" s="6"/>
      <c r="M7" s="6"/>
      <c r="N7" s="6"/>
      <c r="O7" s="6"/>
      <c r="P7" s="6"/>
      <c r="Q7" s="6"/>
      <c r="R7" s="6"/>
      <c r="S7" s="6"/>
      <c r="T7" s="6"/>
      <c r="U7" s="6"/>
      <c r="V7" s="6"/>
      <c r="W7" s="6"/>
      <c r="X7" s="6"/>
      <c r="Y7" s="6"/>
      <c r="Z7" s="6"/>
    </row>
    <row r="8" spans="1:26" ht="32" customHeight="1">
      <c r="A8" s="6"/>
      <c r="B8" s="6"/>
      <c r="C8" s="6"/>
      <c r="D8" s="6"/>
      <c r="E8" s="6"/>
      <c r="F8" s="6"/>
      <c r="G8" s="6"/>
      <c r="H8" s="6"/>
      <c r="I8" s="6"/>
      <c r="J8" s="6"/>
      <c r="K8" s="6"/>
      <c r="L8" s="6"/>
      <c r="M8" s="6"/>
      <c r="N8" s="6"/>
      <c r="O8" s="6"/>
      <c r="P8" s="6"/>
      <c r="Q8" s="6"/>
      <c r="R8" s="6"/>
      <c r="S8" s="6"/>
      <c r="T8" s="6"/>
      <c r="U8" s="6"/>
      <c r="V8" s="6"/>
      <c r="W8" s="6"/>
      <c r="X8" s="6"/>
      <c r="Y8" s="6"/>
      <c r="Z8" s="6"/>
    </row>
    <row r="9" spans="1:26" ht="32" customHeight="1">
      <c r="A9" s="6"/>
      <c r="B9" s="6"/>
      <c r="C9" s="6"/>
      <c r="D9" s="6"/>
      <c r="E9" s="6"/>
      <c r="F9" s="6"/>
      <c r="G9" s="6"/>
      <c r="H9" s="6"/>
      <c r="I9" s="6"/>
      <c r="J9" s="6"/>
      <c r="K9" s="6"/>
      <c r="L9" s="6"/>
      <c r="M9" s="6"/>
      <c r="N9" s="6"/>
      <c r="O9" s="6"/>
      <c r="P9" s="6"/>
      <c r="Q9" s="6"/>
      <c r="R9" s="6"/>
      <c r="S9" s="6"/>
      <c r="T9" s="6"/>
      <c r="U9" s="6"/>
      <c r="V9" s="6"/>
      <c r="W9" s="6"/>
      <c r="X9" s="6"/>
      <c r="Y9" s="6"/>
      <c r="Z9" s="6"/>
    </row>
    <row r="10" spans="1:26" ht="32"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ht="32"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ht="32"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32"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32"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32"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32"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32"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32"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32"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32"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32"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32"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32"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32"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1">
    <dataValidation type="list" allowBlank="1" showErrorMessage="1" sqref="B4:B200" xr:uid="{00000000-0002-0000-0100-000000000000}">
      <formula1>"GRCh37,GRCh38"</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baseColWidth="10" defaultColWidth="14.5" defaultRowHeight="15"/>
  <cols>
    <col min="1" max="1" width="49.83203125" customWidth="1"/>
    <col min="2" max="2" width="20.6640625" customWidth="1"/>
    <col min="3" max="3" width="21.6640625" customWidth="1"/>
    <col min="4" max="4" width="19.6640625" customWidth="1"/>
    <col min="5" max="5" width="32.6640625" customWidth="1"/>
    <col min="6" max="6" width="25.6640625" customWidth="1"/>
    <col min="7" max="7" width="21.6640625" customWidth="1"/>
    <col min="8" max="8" width="16.6640625" customWidth="1"/>
    <col min="9" max="9" width="14.6640625" customWidth="1"/>
    <col min="10" max="10" width="17.6640625" customWidth="1"/>
    <col min="11" max="26" width="8.83203125" customWidth="1"/>
  </cols>
  <sheetData>
    <row r="1" spans="1:26" ht="74.75" customHeight="1">
      <c r="A1" s="1" t="s">
        <v>58</v>
      </c>
      <c r="B1" s="1" t="s">
        <v>59</v>
      </c>
      <c r="C1" s="1" t="s">
        <v>60</v>
      </c>
      <c r="D1" s="1" t="s">
        <v>61</v>
      </c>
      <c r="E1" s="1" t="s">
        <v>62</v>
      </c>
      <c r="F1" s="1" t="s">
        <v>63</v>
      </c>
      <c r="G1" s="1" t="s">
        <v>64</v>
      </c>
      <c r="H1" s="1" t="s">
        <v>65</v>
      </c>
      <c r="I1" s="1" t="s">
        <v>66</v>
      </c>
      <c r="J1" s="1" t="s">
        <v>67</v>
      </c>
    </row>
    <row r="2" spans="1:26" ht="38.75" customHeight="1">
      <c r="A2" s="2" t="s">
        <v>68</v>
      </c>
      <c r="B2" s="2" t="s">
        <v>69</v>
      </c>
      <c r="C2" s="2" t="s">
        <v>70</v>
      </c>
      <c r="D2" s="2" t="s">
        <v>71</v>
      </c>
      <c r="E2" s="2" t="s">
        <v>72</v>
      </c>
      <c r="F2" s="2" t="s">
        <v>73</v>
      </c>
      <c r="G2" s="2" t="s">
        <v>74</v>
      </c>
      <c r="H2" s="2" t="s">
        <v>75</v>
      </c>
      <c r="I2" s="3" t="s">
        <v>76</v>
      </c>
      <c r="J2" s="3" t="s">
        <v>77</v>
      </c>
    </row>
    <row r="3" spans="1:26" ht="64" customHeight="1">
      <c r="A3" s="4" t="s">
        <v>78</v>
      </c>
      <c r="B3" s="4" t="s">
        <v>79</v>
      </c>
      <c r="C3" s="4" t="s">
        <v>80</v>
      </c>
      <c r="D3" s="4" t="s">
        <v>81</v>
      </c>
      <c r="E3" s="4" t="s">
        <v>82</v>
      </c>
      <c r="F3" s="4" t="s">
        <v>83</v>
      </c>
      <c r="G3" s="4" t="s">
        <v>84</v>
      </c>
      <c r="H3" s="4" t="s">
        <v>85</v>
      </c>
      <c r="I3" s="4" t="s">
        <v>86</v>
      </c>
      <c r="J3" s="4"/>
    </row>
    <row r="4" spans="1:26" ht="32" customHeight="1">
      <c r="A4" s="7" t="s">
        <v>87</v>
      </c>
      <c r="B4" s="8" t="s">
        <v>88</v>
      </c>
      <c r="C4" s="8"/>
      <c r="D4" s="8" t="s">
        <v>89</v>
      </c>
      <c r="E4" s="6" t="str">
        <f t="array" ref="E4">IF($D4="","",IFERROR(INDEX(validation!$A$2:$A$24,MATCH($D4,validation!$B$2:$B$24,0)),""))</f>
        <v>GWAS</v>
      </c>
      <c r="F4" s="8" t="s">
        <v>83</v>
      </c>
      <c r="G4" s="8"/>
      <c r="H4" s="8"/>
      <c r="I4" s="7"/>
      <c r="J4" s="7"/>
      <c r="K4" s="6"/>
      <c r="L4" s="6"/>
      <c r="M4" s="6"/>
      <c r="N4" s="6"/>
      <c r="O4" s="6"/>
      <c r="P4" s="6"/>
      <c r="Q4" s="6"/>
      <c r="R4" s="6"/>
      <c r="S4" s="6"/>
      <c r="T4" s="6"/>
      <c r="U4" s="6"/>
      <c r="V4" s="6"/>
      <c r="W4" s="6"/>
      <c r="X4" s="6"/>
      <c r="Y4" s="6"/>
      <c r="Z4" s="6"/>
    </row>
    <row r="5" spans="1:26" ht="32" customHeight="1">
      <c r="A5" s="9" t="s">
        <v>90</v>
      </c>
      <c r="B5" s="8" t="s">
        <v>91</v>
      </c>
      <c r="C5" s="8"/>
      <c r="D5" s="8" t="s">
        <v>89</v>
      </c>
      <c r="E5" s="6" t="str">
        <f t="array" ref="E5">IF($D5="","",IFERROR(INDEX(validation!$A$2:$A$24,MATCH($D5,validation!$B$2:$B$24,0)),""))</f>
        <v>GWAS</v>
      </c>
      <c r="F5" s="8" t="s">
        <v>83</v>
      </c>
      <c r="G5" s="8"/>
      <c r="H5" s="8"/>
      <c r="I5" s="7"/>
      <c r="J5" s="7"/>
      <c r="K5" s="6"/>
      <c r="L5" s="6"/>
      <c r="M5" s="6"/>
      <c r="N5" s="6"/>
      <c r="O5" s="6"/>
      <c r="P5" s="6"/>
      <c r="Q5" s="6"/>
      <c r="R5" s="6"/>
      <c r="S5" s="6"/>
      <c r="T5" s="6"/>
      <c r="U5" s="6"/>
      <c r="V5" s="6"/>
      <c r="W5" s="6"/>
      <c r="X5" s="6"/>
      <c r="Y5" s="6"/>
      <c r="Z5" s="6"/>
    </row>
    <row r="6" spans="1:26" ht="32" customHeight="1">
      <c r="A6" s="10" t="s">
        <v>92</v>
      </c>
      <c r="B6" s="8" t="s">
        <v>93</v>
      </c>
      <c r="C6" s="8"/>
      <c r="D6" s="8" t="s">
        <v>94</v>
      </c>
      <c r="E6" s="6" t="str">
        <f t="array" ref="E6">IF($D6="","",IFERROR(INDEX(validation!$A$2:$A$24,MATCH($D6,validation!$B$2:$B$24,0)),""))</f>
        <v>PROX</v>
      </c>
      <c r="F6" s="8" t="s">
        <v>83</v>
      </c>
      <c r="G6" s="8"/>
      <c r="H6" s="8"/>
      <c r="I6" s="7"/>
      <c r="J6" s="8" t="s">
        <v>95</v>
      </c>
      <c r="K6" s="6"/>
      <c r="L6" s="6"/>
      <c r="M6" s="6"/>
      <c r="N6" s="6"/>
      <c r="O6" s="6"/>
      <c r="P6" s="6"/>
      <c r="Q6" s="6"/>
      <c r="R6" s="6"/>
      <c r="S6" s="6"/>
      <c r="T6" s="6"/>
      <c r="U6" s="6"/>
      <c r="V6" s="6"/>
      <c r="W6" s="6"/>
      <c r="X6" s="6"/>
      <c r="Y6" s="6"/>
      <c r="Z6" s="6"/>
    </row>
    <row r="7" spans="1:26" ht="32" customHeight="1">
      <c r="A7" s="10" t="s">
        <v>96</v>
      </c>
      <c r="B7" s="8" t="s">
        <v>97</v>
      </c>
      <c r="C7" s="8"/>
      <c r="D7" s="8" t="s">
        <v>98</v>
      </c>
      <c r="E7" s="6" t="str">
        <f t="array" ref="E7">IF($D7="","",IFERROR(INDEX(validation!$A$2:$A$24,MATCH($D7,validation!$B$2:$B$24,0)),""))</f>
        <v>FUNC</v>
      </c>
      <c r="F7" s="8" t="s">
        <v>83</v>
      </c>
      <c r="G7" s="8"/>
      <c r="H7" s="8" t="s">
        <v>99</v>
      </c>
      <c r="I7" s="8" t="s">
        <v>100</v>
      </c>
      <c r="J7" s="7"/>
      <c r="K7" s="6"/>
      <c r="L7" s="6"/>
      <c r="M7" s="6"/>
      <c r="N7" s="6"/>
      <c r="O7" s="6"/>
      <c r="P7" s="6"/>
      <c r="Q7" s="6"/>
      <c r="R7" s="6"/>
      <c r="S7" s="6"/>
      <c r="T7" s="6"/>
      <c r="U7" s="6"/>
      <c r="V7" s="6"/>
      <c r="W7" s="6"/>
      <c r="X7" s="6"/>
      <c r="Y7" s="6"/>
      <c r="Z7" s="6"/>
    </row>
    <row r="8" spans="1:26" ht="32" customHeight="1">
      <c r="A8" s="9" t="s">
        <v>101</v>
      </c>
      <c r="B8" s="8" t="s">
        <v>102</v>
      </c>
      <c r="C8" s="8" t="s">
        <v>80</v>
      </c>
      <c r="D8" s="8" t="s">
        <v>81</v>
      </c>
      <c r="E8" s="11" t="s">
        <v>82</v>
      </c>
      <c r="F8" s="8" t="s">
        <v>83</v>
      </c>
      <c r="G8" s="8"/>
      <c r="H8" s="8"/>
      <c r="I8" s="8"/>
      <c r="J8" s="7"/>
      <c r="K8" s="6"/>
      <c r="L8" s="6"/>
      <c r="M8" s="6"/>
      <c r="N8" s="6"/>
      <c r="O8" s="6"/>
      <c r="P8" s="6"/>
      <c r="Q8" s="6"/>
      <c r="R8" s="6"/>
      <c r="S8" s="6"/>
      <c r="T8" s="6"/>
      <c r="U8" s="6"/>
      <c r="V8" s="6"/>
      <c r="W8" s="6"/>
      <c r="X8" s="6"/>
      <c r="Y8" s="6"/>
      <c r="Z8" s="6"/>
    </row>
    <row r="9" spans="1:26" ht="32" customHeight="1">
      <c r="A9" s="9" t="s">
        <v>103</v>
      </c>
      <c r="B9" s="12" t="s">
        <v>104</v>
      </c>
      <c r="C9" s="8" t="s">
        <v>80</v>
      </c>
      <c r="D9" s="8" t="s">
        <v>81</v>
      </c>
      <c r="E9" s="6" t="str">
        <f t="array" ref="E9">IF($D9="","",IFERROR(INDEX(validation!$A$2:$A$24,MATCH($D9,validation!$B$2:$B$24,0)),""))</f>
        <v>QTL</v>
      </c>
      <c r="F9" s="8" t="s">
        <v>83</v>
      </c>
      <c r="G9" s="8" t="s">
        <v>105</v>
      </c>
      <c r="H9" s="8" t="s">
        <v>106</v>
      </c>
      <c r="I9" s="8" t="s">
        <v>107</v>
      </c>
      <c r="J9" s="8" t="s">
        <v>108</v>
      </c>
      <c r="K9" s="6"/>
      <c r="L9" s="6"/>
      <c r="M9" s="6"/>
      <c r="N9" s="6"/>
      <c r="O9" s="6"/>
      <c r="P9" s="6"/>
      <c r="Q9" s="6"/>
      <c r="R9" s="6"/>
      <c r="S9" s="6"/>
      <c r="T9" s="6"/>
      <c r="U9" s="6"/>
      <c r="V9" s="6"/>
      <c r="W9" s="6"/>
      <c r="X9" s="6"/>
      <c r="Y9" s="6"/>
      <c r="Z9" s="6"/>
    </row>
    <row r="10" spans="1:26" ht="32" customHeight="1">
      <c r="A10" s="9" t="s">
        <v>109</v>
      </c>
      <c r="B10" s="12" t="s">
        <v>110</v>
      </c>
      <c r="C10" s="8" t="s">
        <v>80</v>
      </c>
      <c r="D10" s="8" t="s">
        <v>81</v>
      </c>
      <c r="E10" s="6" t="str">
        <f t="array" ref="E10">IF($D10="","",IFERROR(INDEX(validation!$A$2:$A$24,MATCH($D10,validation!$B$2:$B$24,0)),""))</f>
        <v>QTL</v>
      </c>
      <c r="F10" s="8" t="s">
        <v>83</v>
      </c>
      <c r="G10" s="13" t="s">
        <v>111</v>
      </c>
      <c r="H10" s="8" t="s">
        <v>106</v>
      </c>
      <c r="I10" s="8" t="s">
        <v>107</v>
      </c>
      <c r="J10" s="7"/>
      <c r="K10" s="6"/>
      <c r="L10" s="6"/>
      <c r="M10" s="6"/>
      <c r="N10" s="6"/>
      <c r="O10" s="6"/>
      <c r="P10" s="6"/>
      <c r="Q10" s="6"/>
      <c r="R10" s="6"/>
      <c r="S10" s="6"/>
      <c r="T10" s="6"/>
      <c r="U10" s="6"/>
      <c r="V10" s="6"/>
      <c r="W10" s="6"/>
      <c r="X10" s="6"/>
      <c r="Y10" s="6"/>
      <c r="Z10" s="6"/>
    </row>
    <row r="11" spans="1:26" ht="32" customHeight="1">
      <c r="A11" s="9" t="s">
        <v>112</v>
      </c>
      <c r="B11" s="12" t="s">
        <v>113</v>
      </c>
      <c r="C11" s="8" t="s">
        <v>80</v>
      </c>
      <c r="D11" s="8" t="s">
        <v>81</v>
      </c>
      <c r="E11" s="6" t="str">
        <f t="array" ref="E11">IF($D11="","",IFERROR(INDEX(validation!$A$2:$A$24,MATCH($D11,validation!$B$2:$B$24,0)),""))</f>
        <v>QTL</v>
      </c>
      <c r="F11" s="8" t="s">
        <v>83</v>
      </c>
      <c r="G11" s="13" t="s">
        <v>114</v>
      </c>
      <c r="H11" s="8" t="s">
        <v>106</v>
      </c>
      <c r="I11" s="8" t="s">
        <v>107</v>
      </c>
      <c r="J11" s="7"/>
      <c r="K11" s="6"/>
      <c r="L11" s="6"/>
      <c r="M11" s="6"/>
      <c r="N11" s="6"/>
      <c r="O11" s="6"/>
      <c r="P11" s="6"/>
      <c r="Q11" s="6"/>
      <c r="R11" s="6"/>
      <c r="S11" s="6"/>
      <c r="T11" s="6"/>
      <c r="U11" s="6"/>
      <c r="V11" s="6"/>
      <c r="W11" s="6"/>
      <c r="X11" s="6"/>
      <c r="Y11" s="6"/>
      <c r="Z11" s="6"/>
    </row>
    <row r="12" spans="1:26" ht="32" customHeight="1">
      <c r="A12" s="9" t="s">
        <v>115</v>
      </c>
      <c r="B12" s="12" t="s">
        <v>116</v>
      </c>
      <c r="C12" s="8" t="s">
        <v>80</v>
      </c>
      <c r="D12" s="8" t="s">
        <v>81</v>
      </c>
      <c r="E12" s="6" t="str">
        <f t="array" ref="E12">IF($D12="","",IFERROR(INDEX(validation!$A$2:$A$24,MATCH($D12,validation!$B$2:$B$24,0)),""))</f>
        <v>QTL</v>
      </c>
      <c r="F12" s="8" t="s">
        <v>83</v>
      </c>
      <c r="G12" s="13" t="s">
        <v>117</v>
      </c>
      <c r="H12" s="8" t="s">
        <v>106</v>
      </c>
      <c r="I12" s="8" t="s">
        <v>107</v>
      </c>
      <c r="J12" s="7"/>
      <c r="K12" s="6"/>
      <c r="L12" s="6"/>
      <c r="M12" s="6"/>
      <c r="N12" s="6"/>
      <c r="O12" s="6"/>
      <c r="P12" s="6"/>
      <c r="Q12" s="6"/>
      <c r="R12" s="6"/>
      <c r="S12" s="6"/>
      <c r="T12" s="6"/>
      <c r="U12" s="6"/>
      <c r="V12" s="6"/>
      <c r="W12" s="6"/>
      <c r="X12" s="6"/>
      <c r="Y12" s="6"/>
      <c r="Z12" s="6"/>
    </row>
    <row r="13" spans="1:26">
      <c r="A13" s="9" t="s">
        <v>118</v>
      </c>
      <c r="B13" s="12" t="s">
        <v>119</v>
      </c>
      <c r="C13" s="8" t="s">
        <v>80</v>
      </c>
      <c r="D13" s="8" t="s">
        <v>81</v>
      </c>
      <c r="E13" s="6" t="str">
        <f t="array" ref="E13">IF($D13="","",IFERROR(INDEX(validation!$A$2:$A$24,MATCH($D13,validation!$B$2:$B$24,0)),""))</f>
        <v>QTL</v>
      </c>
      <c r="F13" s="8" t="s">
        <v>83</v>
      </c>
      <c r="G13" s="13" t="s">
        <v>120</v>
      </c>
      <c r="H13" s="8" t="s">
        <v>106</v>
      </c>
      <c r="I13" s="8" t="s">
        <v>107</v>
      </c>
      <c r="J13" s="12"/>
    </row>
    <row r="14" spans="1:26">
      <c r="A14" s="9" t="s">
        <v>121</v>
      </c>
      <c r="B14" s="12" t="s">
        <v>122</v>
      </c>
      <c r="C14" s="8" t="s">
        <v>80</v>
      </c>
      <c r="D14" s="8" t="s">
        <v>81</v>
      </c>
      <c r="E14" s="6" t="str">
        <f t="array" ref="E14">IF($D14="","",IFERROR(INDEX(validation!$A$2:$A$24,MATCH($D14,validation!$B$2:$B$24,0)),""))</f>
        <v>QTL</v>
      </c>
      <c r="F14" s="8" t="s">
        <v>83</v>
      </c>
      <c r="G14" s="13" t="s">
        <v>123</v>
      </c>
      <c r="H14" s="8" t="s">
        <v>106</v>
      </c>
      <c r="I14" s="8" t="s">
        <v>107</v>
      </c>
      <c r="J14" s="12"/>
    </row>
    <row r="15" spans="1:26">
      <c r="A15" s="9" t="s">
        <v>124</v>
      </c>
      <c r="B15" s="12" t="s">
        <v>125</v>
      </c>
      <c r="C15" s="8" t="s">
        <v>80</v>
      </c>
      <c r="D15" s="8" t="s">
        <v>81</v>
      </c>
      <c r="E15" s="6" t="str">
        <f t="array" ref="E15">IF($D15="","",IFERROR(INDEX(validation!$A$2:$A$24,MATCH($D15,validation!$B$2:$B$24,0)),""))</f>
        <v>QTL</v>
      </c>
      <c r="F15" s="8" t="s">
        <v>83</v>
      </c>
      <c r="G15" s="13" t="s">
        <v>126</v>
      </c>
      <c r="H15" s="8" t="s">
        <v>106</v>
      </c>
      <c r="I15" s="8" t="s">
        <v>107</v>
      </c>
      <c r="J15" s="12"/>
    </row>
    <row r="16" spans="1:26">
      <c r="A16" s="9" t="s">
        <v>127</v>
      </c>
      <c r="B16" s="12" t="s">
        <v>128</v>
      </c>
      <c r="C16" s="8" t="s">
        <v>80</v>
      </c>
      <c r="D16" s="8" t="s">
        <v>81</v>
      </c>
      <c r="E16" s="6" t="str">
        <f t="array" ref="E16">IF($D16="","",IFERROR(INDEX(validation!$A$2:$A$24,MATCH($D16,validation!$B$2:$B$24,0)),""))</f>
        <v>QTL</v>
      </c>
      <c r="F16" s="8" t="s">
        <v>83</v>
      </c>
      <c r="G16" s="13" t="s">
        <v>129</v>
      </c>
      <c r="H16" s="8" t="s">
        <v>106</v>
      </c>
      <c r="I16" s="8" t="s">
        <v>107</v>
      </c>
      <c r="J16" s="12"/>
    </row>
    <row r="17" spans="1:26">
      <c r="A17" s="9" t="s">
        <v>130</v>
      </c>
      <c r="B17" s="12" t="s">
        <v>131</v>
      </c>
      <c r="C17" s="8" t="s">
        <v>80</v>
      </c>
      <c r="D17" s="8" t="s">
        <v>81</v>
      </c>
      <c r="E17" s="6" t="str">
        <f t="array" ref="E17">IF($D17="","",IFERROR(INDEX(validation!$A$2:$A$24,MATCH($D17,validation!$B$2:$B$24,0)),""))</f>
        <v>QTL</v>
      </c>
      <c r="F17" s="8" t="s">
        <v>83</v>
      </c>
      <c r="G17" s="13" t="s">
        <v>132</v>
      </c>
      <c r="H17" s="8" t="s">
        <v>106</v>
      </c>
      <c r="I17" s="8" t="s">
        <v>107</v>
      </c>
      <c r="J17" s="12"/>
    </row>
    <row r="18" spans="1:26">
      <c r="A18" s="7" t="s">
        <v>133</v>
      </c>
      <c r="B18" s="12" t="s">
        <v>134</v>
      </c>
      <c r="C18" s="8" t="s">
        <v>80</v>
      </c>
      <c r="D18" s="8" t="s">
        <v>81</v>
      </c>
      <c r="E18" s="6" t="str">
        <f t="array" ref="E18">IF($D18="","",IFERROR(INDEX(validation!$A$2:$A$24,MATCH($D18,validation!$B$2:$B$24,0)),""))</f>
        <v>QTL</v>
      </c>
      <c r="F18" s="8" t="s">
        <v>83</v>
      </c>
      <c r="G18" s="12" t="s">
        <v>135</v>
      </c>
      <c r="H18" s="8" t="s">
        <v>106</v>
      </c>
      <c r="I18" s="8" t="s">
        <v>107</v>
      </c>
      <c r="J18" s="12"/>
    </row>
    <row r="19" spans="1:26">
      <c r="A19" s="7" t="s">
        <v>136</v>
      </c>
      <c r="B19" s="12" t="s">
        <v>137</v>
      </c>
      <c r="C19" s="8" t="s">
        <v>80</v>
      </c>
      <c r="D19" s="8" t="s">
        <v>81</v>
      </c>
      <c r="E19" s="6" t="str">
        <f t="array" ref="E19">IF($D19="","",IFERROR(INDEX(validation!$A$2:$A$24,MATCH($D19,validation!$B$2:$B$24,0)),""))</f>
        <v>QTL</v>
      </c>
      <c r="F19" s="8" t="s">
        <v>83</v>
      </c>
      <c r="G19" s="12" t="s">
        <v>138</v>
      </c>
      <c r="H19" s="8" t="s">
        <v>106</v>
      </c>
      <c r="I19" s="8" t="s">
        <v>107</v>
      </c>
      <c r="J19" s="12"/>
    </row>
    <row r="20" spans="1:26">
      <c r="A20" s="7" t="s">
        <v>139</v>
      </c>
      <c r="B20" s="12" t="s">
        <v>140</v>
      </c>
      <c r="C20" s="8" t="s">
        <v>80</v>
      </c>
      <c r="D20" s="8" t="s">
        <v>81</v>
      </c>
      <c r="E20" s="6" t="str">
        <f t="array" ref="E20">IF($D20="","",IFERROR(INDEX(validation!$A$2:$A$24,MATCH($D20,validation!$B$2:$B$24,0)),""))</f>
        <v>QTL</v>
      </c>
      <c r="F20" s="8" t="s">
        <v>83</v>
      </c>
      <c r="G20" s="12" t="s">
        <v>141</v>
      </c>
      <c r="H20" s="8" t="s">
        <v>106</v>
      </c>
      <c r="I20" s="8" t="s">
        <v>107</v>
      </c>
      <c r="J20" s="12"/>
    </row>
    <row r="21" spans="1:26" ht="28" customHeight="1">
      <c r="A21" s="7" t="s">
        <v>142</v>
      </c>
      <c r="B21" s="12" t="s">
        <v>143</v>
      </c>
      <c r="C21" s="8" t="s">
        <v>80</v>
      </c>
      <c r="D21" s="8" t="s">
        <v>81</v>
      </c>
      <c r="E21" s="6" t="str">
        <f t="array" ref="E21">IF($D21="","",IFERROR(INDEX(validation!$A$2:$A$24,MATCH($D21,validation!$B$2:$B$24,0)),""))</f>
        <v>QTL</v>
      </c>
      <c r="F21" s="8" t="s">
        <v>83</v>
      </c>
      <c r="G21" s="12" t="s">
        <v>144</v>
      </c>
      <c r="H21" s="8" t="s">
        <v>106</v>
      </c>
      <c r="I21" s="8" t="s">
        <v>107</v>
      </c>
      <c r="J21" s="12"/>
    </row>
    <row r="22" spans="1:26" ht="28" customHeight="1">
      <c r="A22" s="7" t="s">
        <v>145</v>
      </c>
      <c r="B22" s="12" t="s">
        <v>146</v>
      </c>
      <c r="C22" s="8" t="s">
        <v>80</v>
      </c>
      <c r="D22" s="8" t="s">
        <v>81</v>
      </c>
      <c r="E22" s="6" t="str">
        <f t="array" ref="E22">IF($D22="","",IFERROR(INDEX(validation!$A$2:$A$24,MATCH($D22,validation!$B$2:$B$24,0)),""))</f>
        <v>QTL</v>
      </c>
      <c r="F22" s="8" t="s">
        <v>83</v>
      </c>
      <c r="G22" s="12" t="s">
        <v>147</v>
      </c>
      <c r="H22" s="8" t="s">
        <v>106</v>
      </c>
      <c r="I22" s="8" t="s">
        <v>107</v>
      </c>
      <c r="J22" s="12"/>
    </row>
    <row r="23" spans="1:26" ht="28" customHeight="1">
      <c r="A23" s="7" t="s">
        <v>148</v>
      </c>
      <c r="B23" s="12" t="s">
        <v>149</v>
      </c>
      <c r="C23" s="8" t="s">
        <v>80</v>
      </c>
      <c r="D23" s="8" t="s">
        <v>81</v>
      </c>
      <c r="E23" s="6" t="str">
        <f t="array" ref="E23">IF($D23="","",IFERROR(INDEX(validation!$A$2:$A$24,MATCH($D23,validation!$B$2:$B$24,0)),""))</f>
        <v>QTL</v>
      </c>
      <c r="F23" s="8" t="s">
        <v>83</v>
      </c>
      <c r="G23" s="12" t="s">
        <v>150</v>
      </c>
      <c r="H23" s="8" t="s">
        <v>106</v>
      </c>
      <c r="I23" s="8" t="s">
        <v>107</v>
      </c>
      <c r="J23" s="12"/>
    </row>
    <row r="24" spans="1:26" ht="28" customHeight="1">
      <c r="A24" s="7" t="s">
        <v>151</v>
      </c>
      <c r="B24" s="12" t="s">
        <v>152</v>
      </c>
      <c r="C24" s="8" t="s">
        <v>80</v>
      </c>
      <c r="D24" s="8" t="s">
        <v>81</v>
      </c>
      <c r="E24" s="6" t="str">
        <f t="array" ref="E24">IF($D24="","",IFERROR(INDEX(validation!$A$2:$A$24,MATCH($D24,validation!$B$2:$B$24,0)),""))</f>
        <v>QTL</v>
      </c>
      <c r="F24" s="8" t="s">
        <v>83</v>
      </c>
      <c r="G24" s="12" t="s">
        <v>153</v>
      </c>
      <c r="H24" s="8" t="s">
        <v>106</v>
      </c>
      <c r="I24" s="8" t="s">
        <v>107</v>
      </c>
      <c r="J24" s="12"/>
    </row>
    <row r="25" spans="1:26" ht="32" customHeight="1">
      <c r="A25" s="6" t="s">
        <v>154</v>
      </c>
      <c r="B25" s="8" t="s">
        <v>155</v>
      </c>
      <c r="C25" s="8"/>
      <c r="D25" s="8" t="s">
        <v>156</v>
      </c>
      <c r="E25" s="6" t="str">
        <f t="array" ref="E25">IF($D25="","",IFERROR(INDEX(validation!$A$2:$A$24,MATCH($D25,validation!$B$2:$B$24,0)),""))</f>
        <v>DB</v>
      </c>
      <c r="F25" s="8" t="s">
        <v>157</v>
      </c>
      <c r="G25" s="8" t="s">
        <v>158</v>
      </c>
      <c r="H25" s="8" t="s">
        <v>159</v>
      </c>
      <c r="I25" s="7"/>
      <c r="J25" s="8" t="s">
        <v>160</v>
      </c>
      <c r="K25" s="6"/>
      <c r="L25" s="6"/>
      <c r="M25" s="6"/>
      <c r="N25" s="6"/>
      <c r="O25" s="6"/>
      <c r="P25" s="6"/>
      <c r="Q25" s="6"/>
      <c r="R25" s="6"/>
      <c r="S25" s="6"/>
      <c r="T25" s="6"/>
      <c r="U25" s="6"/>
      <c r="V25" s="6"/>
      <c r="W25" s="6"/>
      <c r="X25" s="6"/>
      <c r="Y25" s="6"/>
      <c r="Z25" s="6"/>
    </row>
    <row r="26" spans="1:26" ht="28" customHeight="1">
      <c r="A26" s="7" t="s">
        <v>161</v>
      </c>
      <c r="B26" s="12" t="s">
        <v>162</v>
      </c>
      <c r="C26" s="12"/>
      <c r="D26" s="12" t="s">
        <v>163</v>
      </c>
      <c r="E26" s="12" t="s">
        <v>164</v>
      </c>
      <c r="F26" s="8" t="s">
        <v>157</v>
      </c>
      <c r="G26" s="12"/>
      <c r="H26" s="12"/>
      <c r="I26" s="12"/>
      <c r="J26" s="12" t="s">
        <v>165</v>
      </c>
    </row>
    <row r="27" spans="1:26" ht="28" customHeight="1">
      <c r="A27" s="7" t="s">
        <v>166</v>
      </c>
      <c r="B27" s="12" t="s">
        <v>167</v>
      </c>
      <c r="C27" s="12"/>
      <c r="D27" s="12" t="s">
        <v>163</v>
      </c>
      <c r="E27" s="12" t="s">
        <v>164</v>
      </c>
      <c r="F27" s="8" t="s">
        <v>157</v>
      </c>
      <c r="G27" s="12"/>
      <c r="H27" s="12"/>
      <c r="I27" s="12"/>
      <c r="J27" s="12" t="s">
        <v>168</v>
      </c>
    </row>
    <row r="28" spans="1:26" ht="32" customHeight="1">
      <c r="A28" s="6" t="s">
        <v>169</v>
      </c>
      <c r="B28" s="8" t="s">
        <v>170</v>
      </c>
      <c r="C28" s="8"/>
      <c r="D28" s="8" t="s">
        <v>171</v>
      </c>
      <c r="E28" s="6" t="str">
        <f t="array" ref="E28">IF($D28="","",IFERROR(INDEX(validation!$A$2:$A$24,MATCH($D28,validation!$B$2:$B$24,0)),""))</f>
        <v>PERTURB</v>
      </c>
      <c r="F28" s="8" t="s">
        <v>157</v>
      </c>
      <c r="G28" s="8" t="s">
        <v>172</v>
      </c>
      <c r="H28" s="7"/>
      <c r="I28" s="7"/>
      <c r="J28" s="8" t="s">
        <v>173</v>
      </c>
      <c r="K28" s="6"/>
      <c r="L28" s="6"/>
      <c r="M28" s="6"/>
      <c r="N28" s="6"/>
      <c r="O28" s="6"/>
      <c r="P28" s="6"/>
      <c r="Q28" s="6"/>
      <c r="R28" s="6"/>
      <c r="S28" s="6"/>
      <c r="T28" s="6"/>
      <c r="U28" s="6"/>
      <c r="V28" s="6"/>
      <c r="W28" s="6"/>
      <c r="X28" s="6"/>
      <c r="Y28" s="6"/>
      <c r="Z28" s="6"/>
    </row>
    <row r="29" spans="1:26" ht="32" customHeight="1">
      <c r="A29" s="6" t="s">
        <v>174</v>
      </c>
      <c r="B29" s="8" t="s">
        <v>175</v>
      </c>
      <c r="C29" s="8"/>
      <c r="D29" s="8" t="s">
        <v>171</v>
      </c>
      <c r="E29" s="6" t="str">
        <f t="array" ref="E29">IF($D29="","",IFERROR(INDEX(validation!$A$2:$A$24,MATCH($D29,validation!$B$2:$B$24,0)),""))</f>
        <v>PERTURB</v>
      </c>
      <c r="F29" s="8" t="s">
        <v>157</v>
      </c>
      <c r="G29" s="8" t="s">
        <v>172</v>
      </c>
      <c r="H29" s="7"/>
      <c r="I29" s="7"/>
      <c r="J29" s="8" t="s">
        <v>173</v>
      </c>
      <c r="K29" s="6"/>
      <c r="L29" s="6"/>
      <c r="M29" s="6"/>
      <c r="N29" s="6"/>
      <c r="O29" s="6"/>
      <c r="P29" s="6"/>
      <c r="Q29" s="6"/>
      <c r="R29" s="6"/>
      <c r="S29" s="6"/>
      <c r="T29" s="6"/>
      <c r="U29" s="6"/>
      <c r="V29" s="6"/>
      <c r="W29" s="6"/>
      <c r="X29" s="6"/>
      <c r="Y29" s="6"/>
      <c r="Z29" s="6"/>
    </row>
    <row r="30" spans="1:26" ht="28" customHeight="1"/>
    <row r="31" spans="1:26" ht="28" customHeight="1"/>
    <row r="32" spans="1:26" ht="28" customHeight="1"/>
    <row r="33" spans="1:26" ht="28" customHeight="1"/>
    <row r="34" spans="1:26" ht="28" customHeight="1"/>
    <row r="35" spans="1:26" ht="28" customHeight="1"/>
    <row r="36" spans="1:26" ht="32" customHeight="1">
      <c r="A36" s="6"/>
      <c r="B36" s="8"/>
      <c r="C36" s="8"/>
      <c r="D36" s="8"/>
      <c r="E36" s="6"/>
      <c r="F36" s="8"/>
      <c r="G36" s="8"/>
      <c r="H36" s="8"/>
      <c r="I36" s="7"/>
      <c r="J36" s="8"/>
      <c r="K36" s="6"/>
      <c r="L36" s="6"/>
      <c r="M36" s="6"/>
      <c r="N36" s="6"/>
      <c r="O36" s="6"/>
      <c r="P36" s="6"/>
      <c r="Q36" s="6"/>
      <c r="R36" s="6"/>
      <c r="S36" s="6"/>
      <c r="T36" s="6"/>
      <c r="U36" s="6"/>
      <c r="V36" s="6"/>
      <c r="W36" s="6"/>
      <c r="X36" s="6"/>
      <c r="Y36" s="6"/>
      <c r="Z36" s="6"/>
    </row>
    <row r="37" spans="1:26" ht="32" customHeight="1">
      <c r="A37" s="6"/>
      <c r="B37" s="8"/>
      <c r="C37" s="8"/>
      <c r="D37" s="8"/>
      <c r="E37" s="6"/>
      <c r="F37" s="8"/>
      <c r="G37" s="8"/>
      <c r="H37" s="8"/>
      <c r="I37" s="7"/>
      <c r="J37" s="7"/>
      <c r="K37" s="6"/>
      <c r="L37" s="6"/>
      <c r="M37" s="6"/>
      <c r="N37" s="6"/>
      <c r="O37" s="6"/>
      <c r="P37" s="6"/>
      <c r="Q37" s="6"/>
      <c r="R37" s="6"/>
      <c r="S37" s="6"/>
      <c r="T37" s="6"/>
      <c r="U37" s="6"/>
      <c r="V37" s="6"/>
      <c r="W37" s="6"/>
      <c r="X37" s="6"/>
      <c r="Y37" s="6"/>
      <c r="Z37" s="6"/>
    </row>
    <row r="38" spans="1:26" ht="32" customHeight="1">
      <c r="A38" s="6"/>
      <c r="B38" s="8"/>
      <c r="C38" s="8"/>
      <c r="D38" s="8"/>
      <c r="E38" s="6"/>
      <c r="F38" s="8"/>
      <c r="G38" s="8"/>
      <c r="H38" s="8"/>
      <c r="I38" s="7"/>
      <c r="J38" s="7"/>
      <c r="K38" s="6"/>
      <c r="L38" s="6"/>
      <c r="M38" s="6"/>
      <c r="N38" s="6"/>
      <c r="O38" s="6"/>
      <c r="P38" s="6"/>
      <c r="Q38" s="6"/>
      <c r="R38" s="6"/>
      <c r="S38" s="6"/>
      <c r="T38" s="6"/>
      <c r="U38" s="6"/>
      <c r="V38" s="6"/>
      <c r="W38" s="6"/>
      <c r="X38" s="6"/>
      <c r="Y38" s="6"/>
      <c r="Z38" s="6"/>
    </row>
    <row r="39" spans="1:26" ht="32" customHeight="1">
      <c r="A39" s="6"/>
      <c r="B39" s="8"/>
      <c r="C39" s="8"/>
      <c r="D39" s="8"/>
      <c r="E39" s="6"/>
      <c r="F39" s="8"/>
      <c r="G39" s="8"/>
      <c r="H39" s="8"/>
      <c r="I39" s="7"/>
      <c r="J39" s="8"/>
      <c r="K39" s="6"/>
      <c r="L39" s="6"/>
      <c r="M39" s="6"/>
      <c r="N39" s="6"/>
      <c r="O39" s="6"/>
      <c r="P39" s="6"/>
      <c r="Q39" s="6"/>
      <c r="R39" s="6"/>
      <c r="S39" s="6"/>
      <c r="T39" s="6"/>
      <c r="U39" s="6"/>
      <c r="V39" s="6"/>
      <c r="W39" s="6"/>
      <c r="X39" s="6"/>
      <c r="Y39" s="6"/>
      <c r="Z39" s="6"/>
    </row>
    <row r="40" spans="1:26" ht="32" customHeight="1">
      <c r="A40" s="6"/>
      <c r="B40" s="8"/>
      <c r="C40" s="8"/>
      <c r="D40" s="8"/>
      <c r="E40" s="6"/>
      <c r="F40" s="8"/>
      <c r="G40" s="8"/>
      <c r="H40" s="8"/>
      <c r="I40" s="8"/>
      <c r="J40" s="7"/>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8"/>
      <c r="C42" s="8"/>
      <c r="D42" s="8"/>
      <c r="E42" s="6"/>
      <c r="F42" s="8"/>
      <c r="G42" s="8"/>
      <c r="H42" s="8"/>
      <c r="I42" s="8"/>
      <c r="J42" s="8"/>
      <c r="K42" s="6"/>
      <c r="L42" s="6"/>
      <c r="M42" s="6"/>
      <c r="N42" s="6"/>
      <c r="O42" s="6"/>
      <c r="P42" s="6"/>
      <c r="Q42" s="6"/>
      <c r="R42" s="6"/>
      <c r="S42" s="6"/>
      <c r="T42" s="6"/>
      <c r="U42" s="6"/>
      <c r="V42" s="6"/>
      <c r="W42" s="6"/>
      <c r="X42" s="6"/>
      <c r="Y42" s="6"/>
      <c r="Z42" s="6"/>
    </row>
    <row r="43" spans="1:26" ht="32" customHeight="1">
      <c r="A43" s="6"/>
      <c r="B43" s="8"/>
      <c r="C43" s="8"/>
      <c r="D43" s="8"/>
      <c r="E43" s="6"/>
      <c r="F43" s="8"/>
      <c r="G43" s="8"/>
      <c r="H43" s="8"/>
      <c r="I43" s="8"/>
      <c r="J43" s="8"/>
      <c r="K43" s="6"/>
      <c r="L43" s="6"/>
      <c r="M43" s="6"/>
      <c r="N43" s="6"/>
      <c r="O43" s="6"/>
      <c r="P43" s="6"/>
      <c r="Q43" s="6"/>
      <c r="R43" s="6"/>
      <c r="S43" s="6"/>
      <c r="T43" s="6"/>
      <c r="U43" s="6"/>
      <c r="V43" s="6"/>
      <c r="W43" s="6"/>
      <c r="X43" s="6"/>
      <c r="Y43" s="6"/>
      <c r="Z43" s="6"/>
    </row>
    <row r="44" spans="1:26" ht="32" customHeight="1">
      <c r="A44" s="6"/>
      <c r="B44" s="8"/>
      <c r="C44" s="8"/>
      <c r="D44" s="8"/>
      <c r="E44" s="6"/>
      <c r="F44" s="8"/>
      <c r="G44" s="8"/>
      <c r="H44" s="8"/>
      <c r="I44" s="7"/>
      <c r="J44" s="7"/>
      <c r="K44" s="6"/>
      <c r="L44" s="6"/>
      <c r="M44" s="6"/>
      <c r="N44" s="6"/>
      <c r="O44" s="6"/>
      <c r="P44" s="6"/>
      <c r="Q44" s="6"/>
      <c r="R44" s="6"/>
      <c r="S44" s="6"/>
      <c r="T44" s="6"/>
      <c r="U44" s="6"/>
      <c r="V44" s="6"/>
      <c r="W44" s="6"/>
      <c r="X44" s="6"/>
      <c r="Y44" s="6"/>
      <c r="Z44" s="6"/>
    </row>
    <row r="45" spans="1:26" ht="32" customHeight="1">
      <c r="A45" s="6"/>
      <c r="B45" s="8"/>
      <c r="C45" s="8"/>
      <c r="D45" s="8"/>
      <c r="E45" s="6"/>
      <c r="F45" s="8"/>
      <c r="G45" s="8"/>
      <c r="H45" s="8"/>
      <c r="I45" s="7"/>
      <c r="J45" s="8"/>
      <c r="K45" s="6"/>
      <c r="L45" s="6"/>
      <c r="M45" s="6"/>
      <c r="N45" s="6"/>
      <c r="O45" s="6"/>
      <c r="P45" s="6"/>
      <c r="Q45" s="6"/>
      <c r="R45" s="6"/>
      <c r="S45" s="6"/>
      <c r="T45" s="6"/>
      <c r="U45" s="6"/>
      <c r="V45" s="6"/>
      <c r="W45" s="6"/>
      <c r="X45" s="6"/>
      <c r="Y45" s="6"/>
      <c r="Z45" s="6"/>
    </row>
    <row r="46" spans="1:26" ht="28" customHeight="1"/>
    <row r="47" spans="1:26" ht="28" customHeight="1"/>
    <row r="48" spans="1:26" ht="28" customHeight="1"/>
    <row r="49" spans="1:26" ht="32" customHeight="1">
      <c r="A49" s="7"/>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7"/>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7"/>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7"/>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7"/>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7"/>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7"/>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32"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32"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32"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32"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32"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32"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32"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32"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32"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1">
    <dataValidation type="list" allowBlank="1" showErrorMessage="1" sqref="F4:F7 F9:F29 F36:F40 F42:F45 F49:F208" xr:uid="{00000000-0002-0000-0200-000000000000}">
      <formula1>"variant-centric,gene-centric"</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5" defaultRowHeight="15"/>
  <cols>
    <col min="1" max="26" width="8.83203125" customWidth="1"/>
  </cols>
  <sheetData>
    <row r="1" spans="1:2">
      <c r="A1" s="14" t="s">
        <v>72</v>
      </c>
      <c r="B1" s="14" t="s">
        <v>71</v>
      </c>
    </row>
    <row r="2" spans="1:2">
      <c r="A2" s="14" t="s">
        <v>176</v>
      </c>
      <c r="B2" s="14" t="s">
        <v>177</v>
      </c>
    </row>
    <row r="3" spans="1:2">
      <c r="A3" s="14" t="s">
        <v>178</v>
      </c>
      <c r="B3" s="14" t="s">
        <v>179</v>
      </c>
    </row>
    <row r="4" spans="1:2">
      <c r="A4" s="14" t="s">
        <v>180</v>
      </c>
      <c r="B4" s="14" t="s">
        <v>181</v>
      </c>
    </row>
    <row r="5" spans="1:2">
      <c r="A5" s="14" t="s">
        <v>182</v>
      </c>
      <c r="B5" s="14" t="s">
        <v>156</v>
      </c>
    </row>
    <row r="6" spans="1:2">
      <c r="A6" s="14" t="s">
        <v>183</v>
      </c>
      <c r="B6" s="14" t="s">
        <v>184</v>
      </c>
    </row>
    <row r="7" spans="1:2">
      <c r="A7" s="14" t="s">
        <v>185</v>
      </c>
      <c r="B7" s="14" t="s">
        <v>186</v>
      </c>
    </row>
    <row r="8" spans="1:2">
      <c r="A8" s="14" t="s">
        <v>367</v>
      </c>
      <c r="B8" s="14" t="s">
        <v>187</v>
      </c>
    </row>
    <row r="9" spans="1:2">
      <c r="A9" s="14" t="s">
        <v>188</v>
      </c>
      <c r="B9" s="14" t="s">
        <v>98</v>
      </c>
    </row>
    <row r="10" spans="1:2">
      <c r="A10" s="14" t="s">
        <v>189</v>
      </c>
      <c r="B10" s="14" t="s">
        <v>190</v>
      </c>
    </row>
    <row r="11" spans="1:2">
      <c r="A11" s="14" t="s">
        <v>191</v>
      </c>
      <c r="B11" s="14" t="s">
        <v>89</v>
      </c>
    </row>
    <row r="12" spans="1:2">
      <c r="A12" s="14" t="s">
        <v>192</v>
      </c>
      <c r="B12" s="14" t="s">
        <v>193</v>
      </c>
    </row>
    <row r="13" spans="1:2">
      <c r="A13" s="14" t="s">
        <v>194</v>
      </c>
      <c r="B13" s="14" t="s">
        <v>195</v>
      </c>
    </row>
    <row r="14" spans="1:2">
      <c r="A14" s="14" t="s">
        <v>164</v>
      </c>
      <c r="B14" s="14" t="s">
        <v>163</v>
      </c>
    </row>
    <row r="15" spans="1:2">
      <c r="A15" s="14" t="s">
        <v>196</v>
      </c>
      <c r="B15" s="14" t="s">
        <v>197</v>
      </c>
    </row>
    <row r="16" spans="1:2">
      <c r="A16" s="14" t="s">
        <v>198</v>
      </c>
      <c r="B16" s="14" t="s">
        <v>199</v>
      </c>
    </row>
    <row r="17" spans="1:2">
      <c r="A17" s="14" t="s">
        <v>200</v>
      </c>
      <c r="B17" s="14" t="s">
        <v>171</v>
      </c>
    </row>
    <row r="18" spans="1:2">
      <c r="A18" s="14" t="s">
        <v>201</v>
      </c>
      <c r="B18" s="14" t="s">
        <v>202</v>
      </c>
    </row>
    <row r="19" spans="1:2">
      <c r="A19" s="14" t="s">
        <v>203</v>
      </c>
      <c r="B19" s="14" t="s">
        <v>204</v>
      </c>
    </row>
    <row r="20" spans="1:2">
      <c r="A20" s="14" t="s">
        <v>92</v>
      </c>
      <c r="B20" s="14" t="s">
        <v>94</v>
      </c>
    </row>
    <row r="21" spans="1:2" ht="28" customHeight="1">
      <c r="A21" s="14" t="s">
        <v>82</v>
      </c>
      <c r="B21" s="14" t="s">
        <v>81</v>
      </c>
    </row>
    <row r="22" spans="1:2" ht="28" customHeight="1">
      <c r="A22" s="14" t="s">
        <v>205</v>
      </c>
      <c r="B22" s="14" t="s">
        <v>206</v>
      </c>
    </row>
    <row r="23" spans="1:2" ht="28" customHeight="1">
      <c r="A23" s="14" t="s">
        <v>207</v>
      </c>
      <c r="B23" s="14" t="s">
        <v>208</v>
      </c>
    </row>
    <row r="24" spans="1:2" ht="28" customHeight="1">
      <c r="A24" s="14" t="s">
        <v>209</v>
      </c>
      <c r="B24" s="14" t="s">
        <v>210</v>
      </c>
    </row>
    <row r="25" spans="1:2" ht="28" customHeight="1"/>
    <row r="26" spans="1:2" ht="28" customHeight="1"/>
    <row r="27" spans="1:2" ht="28" customHeight="1"/>
    <row r="28" spans="1:2" ht="28" customHeight="1"/>
    <row r="29" spans="1:2" ht="28" customHeight="1"/>
    <row r="30" spans="1:2" ht="28" customHeight="1"/>
    <row r="31" spans="1:2" ht="28" customHeight="1"/>
    <row r="32" spans="1:2" ht="28" customHeight="1"/>
    <row r="33" ht="28" customHeight="1"/>
    <row r="34" ht="28" customHeight="1"/>
    <row r="35" ht="28" customHeight="1"/>
    <row r="36" ht="28" customHeight="1"/>
    <row r="37" ht="28" customHeight="1"/>
    <row r="38" ht="28" customHeight="1"/>
    <row r="39" ht="28" customHeight="1"/>
    <row r="40" ht="28" customHeight="1"/>
    <row r="41" ht="28" customHeight="1"/>
    <row r="42" ht="28" customHeight="1"/>
    <row r="43" ht="28" customHeight="1"/>
    <row r="44" ht="28" customHeight="1"/>
    <row r="45" ht="28" customHeight="1"/>
    <row r="46" ht="28" customHeight="1"/>
    <row r="47" ht="28" customHeight="1"/>
    <row r="48" ht="28" customHeight="1"/>
    <row r="49" ht="28" customHeight="1"/>
    <row r="50" ht="28" customHeight="1"/>
    <row r="51" ht="28" customHeight="1"/>
    <row r="52" ht="28" customHeight="1"/>
    <row r="53" ht="28" customHeight="1"/>
    <row r="54" ht="28" customHeight="1"/>
    <row r="55" ht="28" customHeight="1"/>
    <row r="56" ht="28" customHeight="1"/>
    <row r="57" ht="28" customHeight="1"/>
    <row r="58" ht="28" customHeight="1"/>
    <row r="59" ht="28" customHeight="1"/>
    <row r="60" ht="28" customHeight="1"/>
    <row r="61" ht="28" customHeight="1"/>
    <row r="62" ht="28" customHeight="1"/>
    <row r="63" ht="28" customHeight="1"/>
    <row r="64" ht="28" customHeight="1"/>
    <row r="65" ht="28" customHeight="1"/>
    <row r="66" ht="28" customHeight="1"/>
    <row r="67" ht="28" customHeight="1"/>
    <row r="68" ht="28" customHeight="1"/>
    <row r="69" ht="28" customHeight="1"/>
    <row r="70" ht="28" customHeight="1"/>
    <row r="71" ht="28" customHeight="1"/>
    <row r="72" ht="28" customHeight="1"/>
    <row r="73" ht="28" customHeight="1"/>
    <row r="74" ht="28" customHeight="1"/>
    <row r="75" ht="28" customHeight="1"/>
    <row r="76" ht="28" customHeight="1"/>
    <row r="77" ht="28" customHeight="1"/>
    <row r="78" ht="28" customHeight="1"/>
    <row r="79" ht="28" customHeight="1"/>
    <row r="80" ht="28" customHeight="1"/>
    <row r="81" ht="28" customHeight="1"/>
    <row r="82" ht="28" customHeight="1"/>
    <row r="83" ht="28" customHeight="1"/>
    <row r="84" ht="28" customHeight="1"/>
    <row r="85" ht="28" customHeight="1"/>
    <row r="86" ht="28" customHeight="1"/>
    <row r="87" ht="28" customHeight="1"/>
    <row r="88" ht="28" customHeight="1"/>
    <row r="89" ht="28" customHeight="1"/>
    <row r="90" ht="28" customHeight="1"/>
    <row r="91" ht="28" customHeight="1"/>
    <row r="92" ht="28" customHeight="1"/>
    <row r="93" ht="28" customHeight="1"/>
    <row r="94" ht="28" customHeight="1"/>
    <row r="95" ht="28" customHeight="1"/>
    <row r="96" ht="28" customHeight="1"/>
    <row r="97" ht="28" customHeight="1"/>
    <row r="98" ht="28" customHeight="1"/>
    <row r="99" ht="28" customHeight="1"/>
    <row r="100" ht="28" customHeight="1"/>
    <row r="101" ht="28" customHeight="1"/>
    <row r="102" ht="28" customHeight="1"/>
    <row r="103" ht="28" customHeight="1"/>
    <row r="104" ht="28" customHeight="1"/>
    <row r="105" ht="28" customHeight="1"/>
    <row r="106" ht="28" customHeight="1"/>
    <row r="107" ht="28" customHeight="1"/>
    <row r="108" ht="28" customHeight="1"/>
    <row r="109" ht="28" customHeight="1"/>
    <row r="110" ht="28" customHeight="1"/>
    <row r="111" ht="28" customHeight="1"/>
    <row r="112" ht="28" customHeight="1"/>
    <row r="113" ht="28" customHeight="1"/>
    <row r="114" ht="28" customHeight="1"/>
    <row r="115" ht="28" customHeight="1"/>
    <row r="116" ht="28" customHeight="1"/>
    <row r="117" ht="28" customHeight="1"/>
    <row r="118" ht="28" customHeight="1"/>
    <row r="119" ht="28" customHeight="1"/>
    <row r="120" ht="28" customHeight="1"/>
    <row r="121" ht="28" customHeight="1"/>
    <row r="122" ht="28" customHeight="1"/>
    <row r="123" ht="28" customHeight="1"/>
    <row r="124" ht="28" customHeight="1"/>
    <row r="125" ht="28" customHeight="1"/>
    <row r="126" ht="28" customHeight="1"/>
    <row r="127" ht="28" customHeight="1"/>
    <row r="128" ht="28" customHeight="1"/>
    <row r="129" ht="28" customHeight="1"/>
    <row r="130" ht="28" customHeight="1"/>
    <row r="131" ht="28" customHeight="1"/>
    <row r="132" ht="28" customHeight="1"/>
    <row r="133" ht="28" customHeight="1"/>
    <row r="134" ht="28" customHeight="1"/>
    <row r="135" ht="28" customHeight="1"/>
    <row r="136" ht="28" customHeight="1"/>
    <row r="137" ht="28" customHeight="1"/>
    <row r="138" ht="28" customHeight="1"/>
    <row r="139" ht="28" customHeight="1"/>
    <row r="140" ht="28" customHeight="1"/>
    <row r="141" ht="28" customHeight="1"/>
    <row r="142" ht="28" customHeight="1"/>
    <row r="143" ht="28" customHeight="1"/>
    <row r="144" ht="28" customHeight="1"/>
    <row r="145" ht="28" customHeight="1"/>
    <row r="146" ht="28" customHeight="1"/>
    <row r="147" ht="28" customHeight="1"/>
    <row r="148" ht="28" customHeight="1"/>
    <row r="149" ht="28" customHeight="1"/>
    <row r="150" ht="28" customHeight="1"/>
    <row r="151" ht="28" customHeight="1"/>
    <row r="152" ht="28" customHeight="1"/>
    <row r="153" ht="28" customHeight="1"/>
    <row r="154" ht="28" customHeight="1"/>
    <row r="155" ht="28" customHeight="1"/>
    <row r="156" ht="28" customHeight="1"/>
    <row r="157" ht="28" customHeight="1"/>
    <row r="158" ht="28" customHeight="1"/>
    <row r="159" ht="28" customHeight="1"/>
    <row r="160" ht="28" customHeight="1"/>
    <row r="161" ht="28" customHeight="1"/>
    <row r="162" ht="28" customHeight="1"/>
    <row r="163" ht="28" customHeight="1"/>
    <row r="164" ht="28" customHeight="1"/>
    <row r="165" ht="28" customHeight="1"/>
    <row r="166" ht="28" customHeight="1"/>
    <row r="167" ht="28" customHeight="1"/>
    <row r="168" ht="28" customHeight="1"/>
    <row r="169" ht="28" customHeight="1"/>
    <row r="170" ht="28" customHeight="1"/>
    <row r="171" ht="28" customHeight="1"/>
    <row r="172" ht="28" customHeight="1"/>
    <row r="173" ht="28" customHeight="1"/>
    <row r="174" ht="28" customHeight="1"/>
    <row r="175" ht="28" customHeight="1"/>
    <row r="176" ht="28" customHeight="1"/>
    <row r="177" ht="28" customHeight="1"/>
    <row r="178" ht="28" customHeight="1"/>
    <row r="179" ht="28" customHeight="1"/>
    <row r="180" ht="28" customHeight="1"/>
    <row r="181" ht="28" customHeight="1"/>
    <row r="182" ht="28" customHeight="1"/>
    <row r="183" ht="28" customHeight="1"/>
    <row r="184" ht="28" customHeight="1"/>
    <row r="185" ht="28" customHeight="1"/>
    <row r="186" ht="28" customHeight="1"/>
    <row r="187" ht="28" customHeight="1"/>
    <row r="188" ht="28" customHeight="1"/>
    <row r="189" ht="28" customHeight="1"/>
    <row r="190" ht="28" customHeight="1"/>
    <row r="191" ht="28" customHeight="1"/>
    <row r="192" ht="28" customHeight="1"/>
    <row r="193" ht="28" customHeight="1"/>
    <row r="194" ht="28" customHeight="1"/>
    <row r="195" ht="28" customHeight="1"/>
    <row r="196" ht="28" customHeight="1"/>
    <row r="197" ht="28" customHeight="1"/>
    <row r="198" ht="28" customHeight="1"/>
    <row r="199" ht="28" customHeight="1"/>
    <row r="200" ht="28" customHeight="1"/>
    <row r="201" ht="28" customHeight="1"/>
    <row r="202" ht="28" customHeight="1"/>
    <row r="203" ht="28" customHeight="1"/>
    <row r="204" ht="28" customHeight="1"/>
    <row r="205" ht="28" customHeight="1"/>
    <row r="206" ht="28" customHeight="1"/>
    <row r="207" ht="28" customHeight="1"/>
    <row r="208"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4.5" defaultRowHeight="15"/>
  <cols>
    <col min="1" max="1" width="22.6640625" customWidth="1"/>
    <col min="2" max="2" width="30.83203125" customWidth="1"/>
    <col min="3" max="3" width="20.6640625" customWidth="1"/>
    <col min="4" max="4" width="21.6640625" customWidth="1"/>
    <col min="5" max="5" width="27.6640625" customWidth="1"/>
    <col min="6" max="6" width="23.6640625" customWidth="1"/>
    <col min="7" max="8" width="14.6640625" customWidth="1"/>
    <col min="9" max="9" width="17.6640625" customWidth="1"/>
    <col min="10" max="26" width="8.83203125" customWidth="1"/>
  </cols>
  <sheetData>
    <row r="1" spans="1:26" ht="74.75" customHeight="1">
      <c r="A1" s="1" t="s">
        <v>211</v>
      </c>
      <c r="B1" s="1" t="s">
        <v>58</v>
      </c>
      <c r="C1" s="1" t="s">
        <v>212</v>
      </c>
      <c r="D1" s="1" t="s">
        <v>213</v>
      </c>
      <c r="E1" s="1" t="s">
        <v>214</v>
      </c>
      <c r="F1" s="1" t="s">
        <v>215</v>
      </c>
      <c r="G1" s="1" t="s">
        <v>216</v>
      </c>
      <c r="H1" s="1" t="s">
        <v>66</v>
      </c>
      <c r="I1" s="1" t="s">
        <v>217</v>
      </c>
    </row>
    <row r="2" spans="1:26" ht="38.75" customHeight="1">
      <c r="A2" s="2" t="s">
        <v>218</v>
      </c>
      <c r="B2" s="2" t="s">
        <v>68</v>
      </c>
      <c r="C2" s="2" t="s">
        <v>69</v>
      </c>
      <c r="D2" s="2" t="s">
        <v>219</v>
      </c>
      <c r="E2" s="3" t="s">
        <v>220</v>
      </c>
      <c r="F2" s="3" t="s">
        <v>221</v>
      </c>
      <c r="G2" s="2" t="s">
        <v>75</v>
      </c>
      <c r="H2" s="3" t="s">
        <v>76</v>
      </c>
      <c r="I2" s="3" t="s">
        <v>77</v>
      </c>
    </row>
    <row r="3" spans="1:26" ht="64" customHeight="1">
      <c r="A3" s="4" t="s">
        <v>222</v>
      </c>
      <c r="B3" s="4" t="s">
        <v>223</v>
      </c>
      <c r="C3" s="4" t="s">
        <v>224</v>
      </c>
      <c r="D3" s="4" t="s">
        <v>225</v>
      </c>
      <c r="E3" s="4" t="s">
        <v>226</v>
      </c>
      <c r="F3" s="4" t="s">
        <v>227</v>
      </c>
      <c r="G3" s="4" t="s">
        <v>228</v>
      </c>
      <c r="H3" s="4" t="s">
        <v>229</v>
      </c>
      <c r="I3" s="4"/>
    </row>
    <row r="4" spans="1:26" ht="32" customHeight="1">
      <c r="A4" s="6" t="s">
        <v>230</v>
      </c>
      <c r="B4" s="7" t="s">
        <v>231</v>
      </c>
      <c r="C4" s="6" t="s">
        <v>232</v>
      </c>
      <c r="D4" s="6" t="b">
        <v>0</v>
      </c>
      <c r="E4" s="7"/>
      <c r="F4" s="7"/>
      <c r="G4" s="7" t="s">
        <v>228</v>
      </c>
      <c r="H4" s="6"/>
      <c r="I4" s="6" t="s">
        <v>233</v>
      </c>
      <c r="J4" s="6"/>
      <c r="K4" s="6"/>
      <c r="L4" s="6"/>
      <c r="M4" s="6"/>
      <c r="N4" s="6"/>
      <c r="O4" s="6"/>
      <c r="P4" s="6"/>
      <c r="Q4" s="6"/>
      <c r="R4" s="6"/>
      <c r="S4" s="6"/>
      <c r="T4" s="6"/>
      <c r="U4" s="6"/>
      <c r="V4" s="6"/>
      <c r="W4" s="6"/>
      <c r="X4" s="6"/>
      <c r="Y4" s="6"/>
      <c r="Z4" s="6"/>
    </row>
    <row r="5" spans="1:26" ht="32" customHeight="1">
      <c r="A5" s="6" t="s">
        <v>230</v>
      </c>
      <c r="B5" s="15" t="s">
        <v>234</v>
      </c>
      <c r="C5" s="6" t="s">
        <v>235</v>
      </c>
      <c r="D5" s="6" t="b">
        <v>0</v>
      </c>
      <c r="E5" s="6"/>
      <c r="F5" s="6"/>
      <c r="G5" s="7" t="s">
        <v>228</v>
      </c>
      <c r="H5" s="6"/>
      <c r="I5" s="6"/>
      <c r="J5" s="6"/>
      <c r="K5" s="6"/>
      <c r="L5" s="6"/>
      <c r="M5" s="6"/>
      <c r="N5" s="6"/>
      <c r="O5" s="6"/>
      <c r="P5" s="6"/>
      <c r="Q5" s="6"/>
      <c r="R5" s="6"/>
      <c r="S5" s="6"/>
      <c r="T5" s="6"/>
      <c r="U5" s="6"/>
      <c r="V5" s="6"/>
      <c r="W5" s="6"/>
      <c r="X5" s="6"/>
      <c r="Y5" s="6"/>
      <c r="Z5" s="6"/>
    </row>
    <row r="6" spans="1:26" ht="32" customHeight="1">
      <c r="A6" s="6" t="s">
        <v>230</v>
      </c>
      <c r="B6" s="15" t="s">
        <v>236</v>
      </c>
      <c r="C6" s="6" t="s">
        <v>237</v>
      </c>
      <c r="D6" s="6" t="b">
        <v>0</v>
      </c>
      <c r="E6" s="6"/>
      <c r="F6" s="6"/>
      <c r="G6" s="7" t="s">
        <v>228</v>
      </c>
      <c r="H6" s="6"/>
      <c r="I6" s="6"/>
      <c r="J6" s="6"/>
      <c r="K6" s="6"/>
      <c r="L6" s="6"/>
      <c r="M6" s="6"/>
      <c r="N6" s="6"/>
      <c r="O6" s="6"/>
      <c r="P6" s="6"/>
      <c r="Q6" s="6"/>
      <c r="R6" s="6"/>
      <c r="S6" s="6"/>
      <c r="T6" s="6"/>
      <c r="U6" s="6"/>
      <c r="V6" s="6"/>
      <c r="W6" s="6"/>
      <c r="X6" s="6"/>
      <c r="Y6" s="6"/>
      <c r="Z6" s="6"/>
    </row>
    <row r="7" spans="1:26" ht="32" customHeight="1">
      <c r="A7" s="7" t="s">
        <v>238</v>
      </c>
      <c r="B7" s="7" t="s">
        <v>239</v>
      </c>
      <c r="C7" s="6" t="s">
        <v>240</v>
      </c>
      <c r="D7" s="6" t="b">
        <v>0</v>
      </c>
      <c r="E7" s="16" t="s">
        <v>241</v>
      </c>
      <c r="F7" s="16" t="s">
        <v>222</v>
      </c>
      <c r="G7" s="16" t="s">
        <v>242</v>
      </c>
      <c r="H7" s="6"/>
      <c r="I7" s="6" t="s">
        <v>243</v>
      </c>
      <c r="J7" s="6"/>
      <c r="K7" s="6"/>
      <c r="L7" s="6"/>
      <c r="M7" s="6"/>
      <c r="N7" s="6"/>
      <c r="O7" s="6"/>
      <c r="P7" s="6"/>
      <c r="Q7" s="6"/>
      <c r="R7" s="6"/>
      <c r="S7" s="6"/>
      <c r="T7" s="6"/>
      <c r="U7" s="6"/>
      <c r="V7" s="6"/>
      <c r="W7" s="6"/>
      <c r="X7" s="6"/>
      <c r="Y7" s="6"/>
      <c r="Z7" s="6"/>
    </row>
    <row r="8" spans="1:26" ht="32" customHeight="1">
      <c r="A8" s="7" t="s">
        <v>219</v>
      </c>
      <c r="B8" s="17" t="s">
        <v>244</v>
      </c>
      <c r="C8" s="10" t="s">
        <v>245</v>
      </c>
      <c r="D8" s="10" t="b">
        <v>1</v>
      </c>
      <c r="F8" s="7" t="s">
        <v>238</v>
      </c>
      <c r="G8" s="10" t="s">
        <v>242</v>
      </c>
      <c r="H8" s="10" t="s">
        <v>246</v>
      </c>
      <c r="I8" s="7"/>
      <c r="J8" s="6"/>
      <c r="K8" s="6"/>
      <c r="L8" s="6"/>
      <c r="M8" s="6"/>
      <c r="N8" s="6"/>
      <c r="O8" s="6"/>
      <c r="P8" s="6"/>
      <c r="Q8" s="6"/>
      <c r="R8" s="6"/>
      <c r="S8" s="6"/>
      <c r="T8" s="6"/>
      <c r="U8" s="6"/>
      <c r="V8" s="6"/>
      <c r="W8" s="6"/>
      <c r="X8" s="6"/>
      <c r="Y8" s="6"/>
      <c r="Z8" s="6"/>
    </row>
    <row r="9" spans="1:26" ht="32" customHeight="1">
      <c r="A9" s="6"/>
      <c r="B9" s="6"/>
      <c r="C9" s="6"/>
      <c r="D9" s="6"/>
      <c r="E9" s="6"/>
      <c r="F9" s="6"/>
      <c r="G9" s="6"/>
      <c r="H9" s="6"/>
      <c r="I9" s="6"/>
      <c r="J9" s="6"/>
      <c r="K9" s="6"/>
      <c r="L9" s="6"/>
      <c r="M9" s="6"/>
      <c r="N9" s="6"/>
      <c r="O9" s="6"/>
      <c r="P9" s="6"/>
      <c r="Q9" s="6"/>
      <c r="R9" s="6"/>
      <c r="S9" s="6"/>
      <c r="T9" s="6"/>
      <c r="U9" s="6"/>
      <c r="V9" s="6"/>
      <c r="W9" s="6"/>
      <c r="X9" s="6"/>
      <c r="Y9" s="6"/>
      <c r="Z9" s="6"/>
    </row>
    <row r="10" spans="1:26" ht="32"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ht="32"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ht="32"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32"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32"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32"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32"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32"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32"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32"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32"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32"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32"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32"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28" customHeight="1"/>
    <row r="198" spans="1:26" ht="28" customHeight="1"/>
    <row r="199" spans="1:26" ht="28" customHeight="1"/>
    <row r="200" spans="1:26" ht="28" customHeight="1"/>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1">
    <dataValidation type="list" allowBlank="1" showErrorMessage="1" sqref="D4:D196" xr:uid="{00000000-0002-0000-0400-000000000000}">
      <formula1>"TRUE,FALSE"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baseColWidth="10" defaultColWidth="14.5" defaultRowHeight="15"/>
  <cols>
    <col min="1" max="1" width="21.6640625" customWidth="1"/>
    <col min="2" max="2" width="14.6640625" customWidth="1"/>
    <col min="3" max="3" width="24.6640625" customWidth="1"/>
    <col min="4" max="4" width="14.6640625" customWidth="1"/>
    <col min="5" max="5" width="24.6640625" customWidth="1"/>
    <col min="6" max="6" width="14.6640625" customWidth="1"/>
    <col min="7" max="7" width="24.6640625" customWidth="1"/>
    <col min="8" max="8" width="18.6640625" customWidth="1"/>
    <col min="9" max="9" width="14.6640625" customWidth="1"/>
    <col min="10" max="10" width="25.6640625" customWidth="1"/>
    <col min="11" max="11" width="14.6640625" customWidth="1"/>
    <col min="12" max="12" width="28.6640625" customWidth="1"/>
    <col min="13" max="13" width="20.1640625" customWidth="1"/>
    <col min="14" max="14" width="14.6640625" customWidth="1"/>
    <col min="15" max="15" width="15.6640625" customWidth="1"/>
    <col min="16" max="16" width="36.6640625" customWidth="1"/>
    <col min="17" max="17" width="15.6640625" customWidth="1"/>
    <col min="18" max="18" width="14.6640625" customWidth="1"/>
    <col min="19" max="26" width="8.83203125" customWidth="1"/>
  </cols>
  <sheetData>
    <row r="1" spans="1:26" ht="74.75" customHeight="1">
      <c r="A1" s="1" t="s">
        <v>247</v>
      </c>
      <c r="B1" s="1" t="s">
        <v>248</v>
      </c>
      <c r="C1" s="1" t="s">
        <v>249</v>
      </c>
      <c r="D1" s="1" t="s">
        <v>250</v>
      </c>
      <c r="E1" s="1" t="s">
        <v>251</v>
      </c>
      <c r="F1" s="1" t="s">
        <v>252</v>
      </c>
      <c r="G1" s="1" t="s">
        <v>253</v>
      </c>
      <c r="H1" s="1" t="s">
        <v>254</v>
      </c>
      <c r="I1" s="1" t="s">
        <v>255</v>
      </c>
      <c r="J1" s="1" t="s">
        <v>256</v>
      </c>
      <c r="K1" s="1" t="s">
        <v>257</v>
      </c>
      <c r="L1" s="1" t="s">
        <v>258</v>
      </c>
      <c r="M1" s="1" t="s">
        <v>259</v>
      </c>
      <c r="N1" s="1" t="s">
        <v>260</v>
      </c>
      <c r="O1" s="1" t="s">
        <v>261</v>
      </c>
      <c r="P1" s="1" t="s">
        <v>262</v>
      </c>
      <c r="Q1" s="1" t="s">
        <v>263</v>
      </c>
      <c r="R1" s="1" t="s">
        <v>264</v>
      </c>
    </row>
    <row r="2" spans="1:26" ht="38.75" customHeight="1">
      <c r="A2" s="2" t="s">
        <v>74</v>
      </c>
      <c r="B2" s="3" t="s">
        <v>265</v>
      </c>
      <c r="C2" s="3" t="s">
        <v>266</v>
      </c>
      <c r="D2" s="3" t="s">
        <v>267</v>
      </c>
      <c r="E2" s="3" t="s">
        <v>268</v>
      </c>
      <c r="F2" s="3" t="s">
        <v>269</v>
      </c>
      <c r="G2" s="3" t="s">
        <v>270</v>
      </c>
      <c r="H2" s="3" t="s">
        <v>77</v>
      </c>
      <c r="I2" s="3" t="s">
        <v>271</v>
      </c>
      <c r="J2" s="3" t="s">
        <v>272</v>
      </c>
      <c r="K2" s="3" t="s">
        <v>273</v>
      </c>
      <c r="L2" s="3" t="s">
        <v>274</v>
      </c>
      <c r="M2" s="3" t="s">
        <v>275</v>
      </c>
      <c r="N2" s="3" t="s">
        <v>276</v>
      </c>
      <c r="O2" s="3" t="s">
        <v>277</v>
      </c>
      <c r="P2" s="3" t="s">
        <v>278</v>
      </c>
      <c r="Q2" s="3" t="s">
        <v>279</v>
      </c>
      <c r="R2" s="3" t="s">
        <v>280</v>
      </c>
    </row>
    <row r="3" spans="1:26" ht="64" customHeight="1">
      <c r="A3" s="4" t="s">
        <v>84</v>
      </c>
      <c r="B3" s="4" t="s">
        <v>281</v>
      </c>
      <c r="C3" s="4" t="s">
        <v>282</v>
      </c>
      <c r="D3" s="4" t="s">
        <v>283</v>
      </c>
      <c r="E3" s="18" t="s">
        <v>284</v>
      </c>
      <c r="F3" s="4" t="s">
        <v>285</v>
      </c>
      <c r="G3" s="4" t="s">
        <v>286</v>
      </c>
      <c r="H3" s="4" t="s">
        <v>287</v>
      </c>
      <c r="I3" s="4" t="s">
        <v>288</v>
      </c>
      <c r="J3" s="4" t="s">
        <v>289</v>
      </c>
      <c r="K3" s="4" t="s">
        <v>290</v>
      </c>
      <c r="L3" s="4" t="s">
        <v>291</v>
      </c>
      <c r="M3" s="4" t="s">
        <v>292</v>
      </c>
      <c r="N3" s="4" t="s">
        <v>293</v>
      </c>
      <c r="O3" s="4" t="s">
        <v>294</v>
      </c>
      <c r="P3" s="4" t="s">
        <v>295</v>
      </c>
      <c r="Q3" s="4" t="s">
        <v>296</v>
      </c>
      <c r="R3" s="4" t="s">
        <v>297</v>
      </c>
    </row>
    <row r="4" spans="1:26" ht="32" customHeight="1">
      <c r="A4" s="14" t="s">
        <v>298</v>
      </c>
      <c r="B4" s="14" t="s">
        <v>299</v>
      </c>
      <c r="C4" s="6"/>
      <c r="D4" s="6"/>
      <c r="E4" s="6"/>
      <c r="F4" s="6"/>
      <c r="G4" s="14" t="s">
        <v>300</v>
      </c>
      <c r="H4" s="6"/>
      <c r="I4" s="6"/>
      <c r="J4" s="6"/>
      <c r="K4" s="6"/>
      <c r="L4" s="6"/>
      <c r="M4" s="6"/>
      <c r="N4" s="6"/>
      <c r="O4" s="6"/>
      <c r="P4" s="6"/>
      <c r="Q4" s="6"/>
      <c r="R4" s="14" t="s">
        <v>301</v>
      </c>
      <c r="S4" s="6"/>
      <c r="T4" s="6"/>
      <c r="U4" s="6"/>
      <c r="V4" s="6"/>
      <c r="W4" s="6"/>
      <c r="X4" s="6"/>
      <c r="Y4" s="6"/>
      <c r="Z4" s="6"/>
    </row>
    <row r="5" spans="1:26" ht="32" customHeight="1">
      <c r="A5" s="8" t="s">
        <v>172</v>
      </c>
      <c r="B5" s="14" t="s">
        <v>302</v>
      </c>
      <c r="C5" s="6"/>
      <c r="D5" s="14">
        <v>10.1</v>
      </c>
      <c r="E5" s="19" t="s">
        <v>303</v>
      </c>
      <c r="F5" s="6"/>
      <c r="G5" s="6"/>
      <c r="H5" s="6"/>
      <c r="I5" s="6"/>
      <c r="J5" s="6"/>
      <c r="K5" s="6"/>
      <c r="L5" s="6"/>
      <c r="M5" s="6"/>
      <c r="N5" s="6"/>
      <c r="O5" s="6"/>
      <c r="P5" s="6"/>
      <c r="Q5" s="6"/>
      <c r="R5" s="6"/>
      <c r="S5" s="6"/>
      <c r="T5" s="6"/>
      <c r="U5" s="6"/>
      <c r="V5" s="6"/>
      <c r="W5" s="6"/>
      <c r="X5" s="6"/>
      <c r="Y5" s="6"/>
      <c r="Z5" s="6"/>
    </row>
    <row r="6" spans="1:26" ht="32" customHeight="1">
      <c r="A6" s="8" t="s">
        <v>172</v>
      </c>
      <c r="B6" s="14" t="s">
        <v>304</v>
      </c>
      <c r="C6" s="6"/>
      <c r="D6" s="14">
        <v>2019</v>
      </c>
      <c r="E6" s="19" t="s">
        <v>305</v>
      </c>
      <c r="F6" s="6"/>
      <c r="G6" s="6"/>
      <c r="H6" s="6"/>
      <c r="I6" s="6"/>
      <c r="J6" s="6"/>
      <c r="K6" s="6"/>
      <c r="L6" s="6"/>
      <c r="M6" s="6"/>
      <c r="N6" s="6"/>
      <c r="O6" s="6"/>
      <c r="P6" s="6"/>
      <c r="Q6" s="6"/>
      <c r="R6" s="6"/>
      <c r="S6" s="6"/>
      <c r="T6" s="6"/>
      <c r="U6" s="6"/>
      <c r="V6" s="6"/>
      <c r="W6" s="6"/>
      <c r="X6" s="6"/>
      <c r="Y6" s="6"/>
      <c r="Z6" s="6"/>
    </row>
    <row r="7" spans="1:26" ht="32" customHeight="1">
      <c r="A7" s="8" t="s">
        <v>158</v>
      </c>
      <c r="B7" s="14" t="s">
        <v>306</v>
      </c>
      <c r="C7" s="6"/>
      <c r="D7" s="20">
        <v>43988</v>
      </c>
      <c r="E7" s="14" t="s">
        <v>307</v>
      </c>
      <c r="F7" s="6"/>
      <c r="G7" s="6"/>
      <c r="H7" s="6"/>
      <c r="I7" s="6"/>
      <c r="J7" s="6"/>
      <c r="K7" s="6"/>
      <c r="L7" s="6"/>
      <c r="M7" s="6"/>
      <c r="N7" s="6"/>
      <c r="O7" s="6"/>
      <c r="P7" s="6"/>
      <c r="Q7" s="6"/>
      <c r="R7" s="6"/>
      <c r="S7" s="6"/>
      <c r="T7" s="6"/>
      <c r="U7" s="6"/>
      <c r="V7" s="6"/>
      <c r="W7" s="6"/>
      <c r="X7" s="6"/>
      <c r="Y7" s="6"/>
      <c r="Z7" s="6"/>
    </row>
    <row r="8" spans="1:26" ht="32" customHeight="1">
      <c r="A8" s="8" t="s">
        <v>105</v>
      </c>
      <c r="B8" s="14" t="s">
        <v>281</v>
      </c>
      <c r="C8" s="6"/>
      <c r="D8" s="14" t="s">
        <v>308</v>
      </c>
      <c r="E8" s="14" t="s">
        <v>309</v>
      </c>
      <c r="F8" s="6"/>
      <c r="G8" s="6"/>
      <c r="H8" s="6"/>
      <c r="I8" s="21" t="s">
        <v>288</v>
      </c>
      <c r="J8" s="21" t="s">
        <v>310</v>
      </c>
      <c r="K8" s="14" t="s">
        <v>295</v>
      </c>
      <c r="L8" s="6"/>
      <c r="M8" s="6"/>
      <c r="N8" s="14" t="s">
        <v>293</v>
      </c>
      <c r="O8" s="6"/>
      <c r="P8" s="14" t="s">
        <v>295</v>
      </c>
      <c r="Q8" s="14" t="s">
        <v>296</v>
      </c>
      <c r="R8" s="6"/>
      <c r="S8" s="6"/>
      <c r="T8" s="6"/>
      <c r="U8" s="6"/>
      <c r="V8" s="6"/>
      <c r="W8" s="6"/>
      <c r="X8" s="6"/>
      <c r="Y8" s="6"/>
      <c r="Z8" s="6"/>
    </row>
    <row r="9" spans="1:26" ht="32" customHeight="1">
      <c r="A9" s="13" t="s">
        <v>111</v>
      </c>
      <c r="B9" s="14" t="s">
        <v>281</v>
      </c>
      <c r="C9" s="6"/>
      <c r="D9" s="14" t="s">
        <v>308</v>
      </c>
      <c r="E9" s="14" t="s">
        <v>309</v>
      </c>
      <c r="F9" s="6"/>
      <c r="G9" s="6"/>
      <c r="H9" s="6"/>
      <c r="I9" s="21" t="s">
        <v>288</v>
      </c>
      <c r="J9" s="13" t="s">
        <v>311</v>
      </c>
      <c r="K9" s="14" t="s">
        <v>295</v>
      </c>
      <c r="L9" s="6"/>
      <c r="M9" s="6"/>
      <c r="N9" s="14" t="s">
        <v>293</v>
      </c>
      <c r="O9" s="6"/>
      <c r="P9" s="14" t="s">
        <v>295</v>
      </c>
      <c r="Q9" s="14" t="s">
        <v>296</v>
      </c>
      <c r="R9" s="6"/>
      <c r="S9" s="6"/>
      <c r="T9" s="6"/>
      <c r="U9" s="6"/>
      <c r="V9" s="6"/>
      <c r="W9" s="6"/>
      <c r="X9" s="6"/>
      <c r="Y9" s="6"/>
      <c r="Z9" s="6"/>
    </row>
    <row r="10" spans="1:26" ht="32" customHeight="1">
      <c r="A10" s="13" t="s">
        <v>114</v>
      </c>
      <c r="B10" s="14" t="s">
        <v>281</v>
      </c>
      <c r="C10" s="6"/>
      <c r="D10" s="14" t="s">
        <v>308</v>
      </c>
      <c r="E10" s="14" t="s">
        <v>309</v>
      </c>
      <c r="F10" s="6"/>
      <c r="G10" s="6"/>
      <c r="H10" s="6"/>
      <c r="I10" s="21" t="s">
        <v>288</v>
      </c>
      <c r="J10" s="13" t="s">
        <v>312</v>
      </c>
      <c r="K10" s="14" t="s">
        <v>295</v>
      </c>
      <c r="L10" s="6"/>
      <c r="M10" s="6"/>
      <c r="N10" s="14" t="s">
        <v>293</v>
      </c>
      <c r="O10" s="6"/>
      <c r="P10" s="14" t="s">
        <v>295</v>
      </c>
      <c r="Q10" s="14" t="s">
        <v>296</v>
      </c>
      <c r="R10" s="6"/>
      <c r="S10" s="6"/>
      <c r="T10" s="6"/>
      <c r="U10" s="6"/>
      <c r="V10" s="6"/>
      <c r="W10" s="6"/>
      <c r="X10" s="6"/>
      <c r="Y10" s="6"/>
      <c r="Z10" s="6"/>
    </row>
    <row r="11" spans="1:26" ht="32" customHeight="1">
      <c r="A11" s="13" t="s">
        <v>117</v>
      </c>
      <c r="B11" s="14" t="s">
        <v>281</v>
      </c>
      <c r="C11" s="6"/>
      <c r="D11" s="14" t="s">
        <v>308</v>
      </c>
      <c r="E11" s="14" t="s">
        <v>309</v>
      </c>
      <c r="F11" s="6"/>
      <c r="G11" s="6"/>
      <c r="H11" s="6"/>
      <c r="I11" s="21" t="s">
        <v>288</v>
      </c>
      <c r="J11" s="13" t="s">
        <v>313</v>
      </c>
      <c r="K11" s="14" t="s">
        <v>295</v>
      </c>
      <c r="L11" s="6"/>
      <c r="M11" s="6"/>
      <c r="N11" s="14" t="s">
        <v>293</v>
      </c>
      <c r="O11" s="6"/>
      <c r="P11" s="14" t="s">
        <v>295</v>
      </c>
      <c r="Q11" s="14" t="s">
        <v>296</v>
      </c>
      <c r="R11" s="6"/>
      <c r="S11" s="6"/>
      <c r="T11" s="6"/>
      <c r="U11" s="6"/>
      <c r="V11" s="6"/>
      <c r="W11" s="6"/>
      <c r="X11" s="6"/>
      <c r="Y11" s="6"/>
      <c r="Z11" s="6"/>
    </row>
    <row r="12" spans="1:26" ht="32" customHeight="1">
      <c r="A12" s="13" t="s">
        <v>120</v>
      </c>
      <c r="B12" s="14" t="s">
        <v>281</v>
      </c>
      <c r="C12" s="6"/>
      <c r="D12" s="14" t="s">
        <v>308</v>
      </c>
      <c r="E12" s="14" t="s">
        <v>309</v>
      </c>
      <c r="F12" s="6"/>
      <c r="G12" s="6"/>
      <c r="H12" s="6"/>
      <c r="I12" s="21" t="s">
        <v>288</v>
      </c>
      <c r="J12" s="13" t="s">
        <v>314</v>
      </c>
      <c r="K12" s="14" t="s">
        <v>295</v>
      </c>
      <c r="L12" s="6"/>
      <c r="M12" s="6"/>
      <c r="N12" s="14" t="s">
        <v>293</v>
      </c>
      <c r="O12" s="6"/>
      <c r="P12" s="14" t="s">
        <v>295</v>
      </c>
      <c r="Q12" s="14" t="s">
        <v>296</v>
      </c>
      <c r="R12" s="6"/>
      <c r="S12" s="6"/>
      <c r="T12" s="6"/>
      <c r="U12" s="6"/>
      <c r="V12" s="6"/>
      <c r="W12" s="6"/>
      <c r="X12" s="6"/>
      <c r="Y12" s="6"/>
      <c r="Z12" s="6"/>
    </row>
    <row r="13" spans="1:26" ht="32" customHeight="1">
      <c r="A13" s="13" t="s">
        <v>123</v>
      </c>
      <c r="B13" s="14" t="s">
        <v>281</v>
      </c>
      <c r="C13" s="6"/>
      <c r="D13" s="14" t="s">
        <v>308</v>
      </c>
      <c r="E13" s="14" t="s">
        <v>309</v>
      </c>
      <c r="F13" s="6"/>
      <c r="G13" s="6"/>
      <c r="H13" s="6"/>
      <c r="I13" s="21" t="s">
        <v>288</v>
      </c>
      <c r="J13" s="13" t="s">
        <v>315</v>
      </c>
      <c r="K13" s="14" t="s">
        <v>295</v>
      </c>
      <c r="L13" s="6"/>
      <c r="M13" s="6"/>
      <c r="N13" s="14" t="s">
        <v>293</v>
      </c>
      <c r="O13" s="6"/>
      <c r="P13" s="14" t="s">
        <v>295</v>
      </c>
      <c r="Q13" s="14" t="s">
        <v>296</v>
      </c>
      <c r="R13" s="6"/>
      <c r="S13" s="6"/>
      <c r="T13" s="6"/>
      <c r="U13" s="6"/>
      <c r="V13" s="6"/>
      <c r="W13" s="6"/>
      <c r="X13" s="6"/>
      <c r="Y13" s="6"/>
      <c r="Z13" s="6"/>
    </row>
    <row r="14" spans="1:26" ht="32" customHeight="1">
      <c r="A14" s="13" t="s">
        <v>126</v>
      </c>
      <c r="B14" s="14" t="s">
        <v>281</v>
      </c>
      <c r="C14" s="6"/>
      <c r="D14" s="14" t="s">
        <v>308</v>
      </c>
      <c r="E14" s="14" t="s">
        <v>309</v>
      </c>
      <c r="F14" s="6"/>
      <c r="G14" s="6"/>
      <c r="H14" s="6"/>
      <c r="I14" s="21" t="s">
        <v>288</v>
      </c>
      <c r="J14" s="13" t="s">
        <v>316</v>
      </c>
      <c r="K14" s="14" t="s">
        <v>295</v>
      </c>
      <c r="L14" s="6"/>
      <c r="M14" s="6"/>
      <c r="N14" s="14" t="s">
        <v>293</v>
      </c>
      <c r="O14" s="6"/>
      <c r="P14" s="14" t="s">
        <v>295</v>
      </c>
      <c r="Q14" s="14" t="s">
        <v>296</v>
      </c>
      <c r="R14" s="6"/>
      <c r="S14" s="6"/>
      <c r="T14" s="6"/>
      <c r="U14" s="6"/>
      <c r="V14" s="6"/>
      <c r="W14" s="6"/>
      <c r="X14" s="6"/>
      <c r="Y14" s="6"/>
      <c r="Z14" s="6"/>
    </row>
    <row r="15" spans="1:26" ht="32" customHeight="1">
      <c r="A15" s="13" t="s">
        <v>129</v>
      </c>
      <c r="B15" s="14" t="s">
        <v>281</v>
      </c>
      <c r="C15" s="6"/>
      <c r="D15" s="14" t="s">
        <v>308</v>
      </c>
      <c r="E15" s="14" t="s">
        <v>309</v>
      </c>
      <c r="F15" s="6"/>
      <c r="G15" s="6"/>
      <c r="H15" s="6"/>
      <c r="I15" s="21" t="s">
        <v>288</v>
      </c>
      <c r="J15" s="13" t="s">
        <v>317</v>
      </c>
      <c r="K15" s="14" t="s">
        <v>295</v>
      </c>
      <c r="L15" s="6"/>
      <c r="M15" s="6"/>
      <c r="N15" s="14" t="s">
        <v>293</v>
      </c>
      <c r="O15" s="6"/>
      <c r="P15" s="14" t="s">
        <v>295</v>
      </c>
      <c r="Q15" s="14" t="s">
        <v>296</v>
      </c>
      <c r="R15" s="6"/>
      <c r="S15" s="6"/>
      <c r="T15" s="6"/>
      <c r="U15" s="6"/>
      <c r="V15" s="6"/>
      <c r="W15" s="6"/>
      <c r="X15" s="6"/>
      <c r="Y15" s="6"/>
      <c r="Z15" s="6"/>
    </row>
    <row r="16" spans="1:26" ht="32" customHeight="1">
      <c r="A16" s="13" t="s">
        <v>132</v>
      </c>
      <c r="B16" s="14" t="s">
        <v>281</v>
      </c>
      <c r="C16" s="6"/>
      <c r="D16" s="14" t="s">
        <v>308</v>
      </c>
      <c r="E16" s="14" t="s">
        <v>309</v>
      </c>
      <c r="F16" s="6"/>
      <c r="G16" s="6"/>
      <c r="H16" s="6"/>
      <c r="I16" s="21" t="s">
        <v>288</v>
      </c>
      <c r="J16" s="13" t="s">
        <v>318</v>
      </c>
      <c r="K16" s="14" t="s">
        <v>295</v>
      </c>
      <c r="L16" s="6"/>
      <c r="M16" s="6"/>
      <c r="N16" s="14" t="s">
        <v>293</v>
      </c>
      <c r="O16" s="6"/>
      <c r="P16" s="14" t="s">
        <v>295</v>
      </c>
      <c r="Q16" s="14" t="s">
        <v>296</v>
      </c>
      <c r="R16" s="6"/>
      <c r="S16" s="6"/>
      <c r="T16" s="6"/>
      <c r="U16" s="6"/>
      <c r="V16" s="6"/>
      <c r="W16" s="6"/>
      <c r="X16" s="6"/>
      <c r="Y16" s="6"/>
      <c r="Z16" s="6"/>
    </row>
    <row r="17" spans="1:26" ht="32" customHeight="1">
      <c r="A17" s="14" t="s">
        <v>135</v>
      </c>
      <c r="B17" s="21" t="s">
        <v>319</v>
      </c>
      <c r="C17" s="21"/>
      <c r="D17" s="21"/>
      <c r="E17" s="21"/>
      <c r="F17" s="21"/>
      <c r="G17" s="19" t="s">
        <v>320</v>
      </c>
      <c r="H17" s="21"/>
      <c r="I17" s="21" t="s">
        <v>288</v>
      </c>
      <c r="J17" s="14" t="s">
        <v>321</v>
      </c>
      <c r="K17" s="14" t="s">
        <v>295</v>
      </c>
      <c r="L17" s="21"/>
      <c r="M17" s="21" t="s">
        <v>275</v>
      </c>
      <c r="N17" s="14" t="s">
        <v>293</v>
      </c>
      <c r="O17" s="21"/>
      <c r="P17" s="14" t="s">
        <v>295</v>
      </c>
      <c r="Q17" s="14" t="s">
        <v>296</v>
      </c>
      <c r="R17" s="21" t="s">
        <v>322</v>
      </c>
      <c r="S17" s="6"/>
      <c r="T17" s="6"/>
      <c r="U17" s="6"/>
      <c r="V17" s="6"/>
      <c r="W17" s="6"/>
      <c r="X17" s="6"/>
      <c r="Y17" s="6"/>
      <c r="Z17" s="6"/>
    </row>
    <row r="18" spans="1:26" ht="32" customHeight="1">
      <c r="A18" s="14" t="s">
        <v>138</v>
      </c>
      <c r="B18" s="21" t="s">
        <v>319</v>
      </c>
      <c r="C18" s="21"/>
      <c r="D18" s="21"/>
      <c r="E18" s="21"/>
      <c r="F18" s="21"/>
      <c r="G18" s="19" t="s">
        <v>320</v>
      </c>
      <c r="H18" s="21"/>
      <c r="I18" s="21" t="s">
        <v>288</v>
      </c>
      <c r="J18" s="14" t="s">
        <v>323</v>
      </c>
      <c r="K18" s="14" t="s">
        <v>295</v>
      </c>
      <c r="L18" s="21"/>
      <c r="M18" s="21" t="s">
        <v>275</v>
      </c>
      <c r="N18" s="14" t="s">
        <v>293</v>
      </c>
      <c r="O18" s="21"/>
      <c r="P18" s="14" t="s">
        <v>295</v>
      </c>
      <c r="Q18" s="14" t="s">
        <v>296</v>
      </c>
      <c r="R18" s="21" t="s">
        <v>322</v>
      </c>
      <c r="S18" s="6"/>
      <c r="T18" s="6"/>
      <c r="U18" s="6"/>
      <c r="V18" s="6"/>
      <c r="W18" s="6"/>
      <c r="X18" s="6"/>
      <c r="Y18" s="6"/>
      <c r="Z18" s="6"/>
    </row>
    <row r="19" spans="1:26" ht="32" customHeight="1">
      <c r="A19" s="14" t="s">
        <v>141</v>
      </c>
      <c r="B19" s="21" t="s">
        <v>319</v>
      </c>
      <c r="C19" s="21"/>
      <c r="D19" s="21"/>
      <c r="E19" s="21"/>
      <c r="F19" s="21"/>
      <c r="G19" s="19" t="s">
        <v>320</v>
      </c>
      <c r="H19" s="21"/>
      <c r="I19" s="21" t="s">
        <v>288</v>
      </c>
      <c r="J19" s="14" t="s">
        <v>317</v>
      </c>
      <c r="K19" s="14" t="s">
        <v>295</v>
      </c>
      <c r="L19" s="21"/>
      <c r="M19" s="21" t="s">
        <v>275</v>
      </c>
      <c r="N19" s="14" t="s">
        <v>293</v>
      </c>
      <c r="O19" s="21"/>
      <c r="P19" s="14" t="s">
        <v>295</v>
      </c>
      <c r="Q19" s="14" t="s">
        <v>296</v>
      </c>
      <c r="R19" s="21" t="s">
        <v>322</v>
      </c>
      <c r="S19" s="6"/>
      <c r="T19" s="6"/>
      <c r="U19" s="6"/>
      <c r="V19" s="6"/>
      <c r="W19" s="6"/>
      <c r="X19" s="6"/>
      <c r="Y19" s="6"/>
      <c r="Z19" s="6"/>
    </row>
    <row r="20" spans="1:26" ht="32" customHeight="1">
      <c r="A20" s="14" t="s">
        <v>144</v>
      </c>
      <c r="B20" s="21" t="s">
        <v>319</v>
      </c>
      <c r="C20" s="21"/>
      <c r="D20" s="21"/>
      <c r="E20" s="21"/>
      <c r="F20" s="21"/>
      <c r="G20" s="19" t="s">
        <v>320</v>
      </c>
      <c r="H20" s="21"/>
      <c r="I20" s="21" t="s">
        <v>288</v>
      </c>
      <c r="J20" s="14" t="s">
        <v>324</v>
      </c>
      <c r="K20" s="14" t="s">
        <v>295</v>
      </c>
      <c r="L20" s="21"/>
      <c r="M20" s="21" t="s">
        <v>275</v>
      </c>
      <c r="N20" s="14" t="s">
        <v>293</v>
      </c>
      <c r="O20" s="21"/>
      <c r="P20" s="14" t="s">
        <v>295</v>
      </c>
      <c r="Q20" s="14" t="s">
        <v>296</v>
      </c>
      <c r="R20" s="21" t="s">
        <v>322</v>
      </c>
      <c r="S20" s="6"/>
      <c r="T20" s="6"/>
      <c r="U20" s="6"/>
      <c r="V20" s="6"/>
      <c r="W20" s="6"/>
      <c r="X20" s="6"/>
      <c r="Y20" s="6"/>
      <c r="Z20" s="6"/>
    </row>
    <row r="21" spans="1:26" ht="32" customHeight="1">
      <c r="A21" s="14" t="s">
        <v>147</v>
      </c>
      <c r="B21" s="21" t="s">
        <v>319</v>
      </c>
      <c r="C21" s="21"/>
      <c r="D21" s="21"/>
      <c r="E21" s="21"/>
      <c r="F21" s="21"/>
      <c r="G21" s="19" t="s">
        <v>320</v>
      </c>
      <c r="H21" s="21"/>
      <c r="I21" s="21" t="s">
        <v>288</v>
      </c>
      <c r="J21" s="14" t="s">
        <v>325</v>
      </c>
      <c r="K21" s="14" t="s">
        <v>295</v>
      </c>
      <c r="L21" s="21"/>
      <c r="M21" s="21" t="s">
        <v>275</v>
      </c>
      <c r="N21" s="14" t="s">
        <v>293</v>
      </c>
      <c r="O21" s="21"/>
      <c r="P21" s="14" t="s">
        <v>295</v>
      </c>
      <c r="Q21" s="14" t="s">
        <v>296</v>
      </c>
      <c r="R21" s="21" t="s">
        <v>322</v>
      </c>
      <c r="S21" s="6"/>
      <c r="T21" s="6"/>
      <c r="U21" s="6"/>
      <c r="V21" s="6"/>
      <c r="W21" s="6"/>
      <c r="X21" s="6"/>
      <c r="Y21" s="6"/>
      <c r="Z21" s="6"/>
    </row>
    <row r="22" spans="1:26" ht="32" customHeight="1">
      <c r="A22" s="14" t="s">
        <v>150</v>
      </c>
      <c r="B22" s="21" t="s">
        <v>319</v>
      </c>
      <c r="C22" s="21"/>
      <c r="D22" s="21"/>
      <c r="E22" s="21"/>
      <c r="F22" s="21"/>
      <c r="G22" s="19" t="s">
        <v>320</v>
      </c>
      <c r="H22" s="21"/>
      <c r="I22" s="21" t="s">
        <v>288</v>
      </c>
      <c r="J22" s="14" t="s">
        <v>326</v>
      </c>
      <c r="K22" s="14" t="s">
        <v>295</v>
      </c>
      <c r="L22" s="21"/>
      <c r="M22" s="21" t="s">
        <v>275</v>
      </c>
      <c r="N22" s="14" t="s">
        <v>293</v>
      </c>
      <c r="O22" s="21"/>
      <c r="P22" s="14" t="s">
        <v>295</v>
      </c>
      <c r="Q22" s="14" t="s">
        <v>296</v>
      </c>
      <c r="R22" s="21" t="s">
        <v>322</v>
      </c>
      <c r="S22" s="6"/>
      <c r="T22" s="6"/>
      <c r="U22" s="6"/>
      <c r="V22" s="6"/>
      <c r="W22" s="6"/>
      <c r="X22" s="6"/>
      <c r="Y22" s="6"/>
      <c r="Z22" s="6"/>
    </row>
    <row r="23" spans="1:26" ht="32" customHeight="1">
      <c r="A23" s="14" t="s">
        <v>153</v>
      </c>
      <c r="B23" s="21" t="s">
        <v>319</v>
      </c>
      <c r="C23" s="21"/>
      <c r="D23" s="21"/>
      <c r="E23" s="21"/>
      <c r="F23" s="21"/>
      <c r="G23" s="19" t="s">
        <v>320</v>
      </c>
      <c r="H23" s="21"/>
      <c r="I23" s="21" t="s">
        <v>288</v>
      </c>
      <c r="J23" s="14" t="s">
        <v>327</v>
      </c>
      <c r="K23" s="14" t="s">
        <v>295</v>
      </c>
      <c r="L23" s="21"/>
      <c r="M23" s="21" t="s">
        <v>275</v>
      </c>
      <c r="N23" s="14" t="s">
        <v>293</v>
      </c>
      <c r="O23" s="21"/>
      <c r="P23" s="14" t="s">
        <v>295</v>
      </c>
      <c r="Q23" s="14" t="s">
        <v>296</v>
      </c>
      <c r="R23" s="21" t="s">
        <v>322</v>
      </c>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28" customHeight="1"/>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3">
    <dataValidation type="list" allowBlank="1" showErrorMessage="1" sqref="N4:N199" xr:uid="{00000000-0002-0000-0500-000000000000}">
      <formula1>"healthy,disease"</formula1>
    </dataValidation>
    <dataValidation type="list" allowBlank="1" showErrorMessage="1" sqref="R4:R16 R24:R199" xr:uid="{00000000-0002-0000-0500-000001000000}">
      <formula1>"male,female,mixed,unknown"</formula1>
    </dataValidation>
    <dataValidation type="list" allowBlank="1" showErrorMessage="1" sqref="S4:S199" xr:uid="{00000000-0002-0000-0500-000002000000}">
      <formula1>"PATO_0000383,PATO_0000384,PATO_0001894"</formula1>
    </dataValidation>
  </dataValidations>
  <hyperlinks>
    <hyperlink ref="E3" r:id="rId1" xr:uid="{00000000-0004-0000-0500-000000000000}"/>
    <hyperlink ref="E5" r:id="rId2" xr:uid="{00000000-0004-0000-0500-000001000000}"/>
    <hyperlink ref="E6" r:id="rId3" xr:uid="{00000000-0004-0000-0500-000002000000}"/>
    <hyperlink ref="G17" r:id="rId4" xr:uid="{00000000-0004-0000-0500-000003000000}"/>
    <hyperlink ref="G18" r:id="rId5" xr:uid="{00000000-0004-0000-0500-000004000000}"/>
    <hyperlink ref="G19" r:id="rId6" xr:uid="{00000000-0004-0000-0500-000005000000}"/>
    <hyperlink ref="G20" r:id="rId7" xr:uid="{00000000-0004-0000-0500-000006000000}"/>
    <hyperlink ref="G21" r:id="rId8" xr:uid="{00000000-0004-0000-0500-000007000000}"/>
    <hyperlink ref="G22" r:id="rId9" xr:uid="{00000000-0004-0000-0500-000008000000}"/>
    <hyperlink ref="G23" r:id="rId10" xr:uid="{00000000-0004-0000-0500-000009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baseColWidth="10" defaultColWidth="14.5" defaultRowHeight="15"/>
  <cols>
    <col min="1" max="1" width="16.6640625" customWidth="1"/>
    <col min="2" max="2" width="14.6640625" customWidth="1"/>
    <col min="3" max="3" width="30.6640625" customWidth="1"/>
    <col min="4" max="4" width="15.6640625" customWidth="1"/>
    <col min="5" max="5" width="18.6640625" customWidth="1"/>
    <col min="6" max="7" width="24.6640625" customWidth="1"/>
    <col min="8" max="8" width="20.6640625" customWidth="1"/>
    <col min="9" max="9" width="15.6640625" customWidth="1"/>
    <col min="10" max="26" width="8.83203125" customWidth="1"/>
  </cols>
  <sheetData>
    <row r="1" spans="1:26" ht="74.75" customHeight="1">
      <c r="A1" s="1" t="s">
        <v>328</v>
      </c>
      <c r="B1" s="1" t="s">
        <v>329</v>
      </c>
      <c r="C1" s="1" t="s">
        <v>330</v>
      </c>
      <c r="D1" s="1" t="s">
        <v>331</v>
      </c>
      <c r="E1" s="1" t="s">
        <v>332</v>
      </c>
      <c r="F1" s="1" t="s">
        <v>333</v>
      </c>
      <c r="G1" s="1" t="s">
        <v>334</v>
      </c>
      <c r="H1" s="1" t="s">
        <v>335</v>
      </c>
      <c r="I1" s="1" t="s">
        <v>335</v>
      </c>
    </row>
    <row r="2" spans="1:26" ht="38.75" customHeight="1">
      <c r="A2" s="2" t="s">
        <v>75</v>
      </c>
      <c r="B2" s="2" t="s">
        <v>336</v>
      </c>
      <c r="C2" s="2" t="s">
        <v>337</v>
      </c>
      <c r="D2" s="3" t="s">
        <v>338</v>
      </c>
      <c r="E2" s="3" t="s">
        <v>339</v>
      </c>
      <c r="F2" s="3" t="s">
        <v>340</v>
      </c>
      <c r="G2" s="3" t="s">
        <v>341</v>
      </c>
      <c r="H2" s="3" t="s">
        <v>342</v>
      </c>
      <c r="I2" s="3" t="s">
        <v>77</v>
      </c>
    </row>
    <row r="3" spans="1:26" ht="64" customHeight="1">
      <c r="A3" s="4" t="s">
        <v>85</v>
      </c>
      <c r="B3" s="4" t="s">
        <v>343</v>
      </c>
      <c r="C3" s="4" t="s">
        <v>344</v>
      </c>
      <c r="D3" s="4" t="s">
        <v>345</v>
      </c>
      <c r="E3" s="4" t="s">
        <v>346</v>
      </c>
      <c r="F3" s="18" t="s">
        <v>347</v>
      </c>
      <c r="G3" s="4" t="s">
        <v>348</v>
      </c>
      <c r="H3" s="4" t="s">
        <v>349</v>
      </c>
      <c r="I3" s="4"/>
    </row>
    <row r="4" spans="1:26" ht="32" customHeight="1">
      <c r="A4" s="6" t="s">
        <v>99</v>
      </c>
      <c r="B4" s="6" t="s">
        <v>343</v>
      </c>
      <c r="C4" s="6" t="s">
        <v>344</v>
      </c>
      <c r="D4" s="6" t="s">
        <v>350</v>
      </c>
      <c r="E4" s="6" t="s">
        <v>351</v>
      </c>
      <c r="F4" s="6" t="s">
        <v>352</v>
      </c>
      <c r="G4" s="6"/>
      <c r="H4" s="6"/>
      <c r="I4" s="6"/>
      <c r="J4" s="6"/>
      <c r="K4" s="6"/>
      <c r="L4" s="6"/>
      <c r="M4" s="6"/>
      <c r="N4" s="6"/>
      <c r="O4" s="6"/>
      <c r="P4" s="6"/>
      <c r="Q4" s="6"/>
      <c r="R4" s="6"/>
      <c r="S4" s="6"/>
      <c r="T4" s="6"/>
      <c r="U4" s="6"/>
      <c r="V4" s="6"/>
      <c r="W4" s="6"/>
      <c r="X4" s="6"/>
      <c r="Y4" s="6"/>
      <c r="Z4" s="6"/>
    </row>
    <row r="5" spans="1:26" ht="32" customHeight="1">
      <c r="A5" s="6" t="s">
        <v>353</v>
      </c>
      <c r="B5" s="6" t="s">
        <v>343</v>
      </c>
      <c r="C5" s="6" t="s">
        <v>344</v>
      </c>
      <c r="D5" s="6" t="s">
        <v>354</v>
      </c>
      <c r="E5" s="6"/>
      <c r="F5" s="6" t="s">
        <v>355</v>
      </c>
      <c r="G5" s="6"/>
      <c r="H5" s="6"/>
      <c r="I5" s="6"/>
      <c r="J5" s="6"/>
      <c r="K5" s="6"/>
      <c r="L5" s="6"/>
      <c r="M5" s="6"/>
      <c r="N5" s="6"/>
      <c r="O5" s="6"/>
      <c r="P5" s="6"/>
      <c r="Q5" s="6"/>
      <c r="R5" s="6"/>
      <c r="S5" s="6"/>
      <c r="T5" s="6"/>
      <c r="U5" s="6"/>
      <c r="V5" s="6"/>
      <c r="W5" s="6"/>
      <c r="X5" s="6"/>
      <c r="Y5" s="6"/>
      <c r="Z5" s="6"/>
    </row>
    <row r="6" spans="1:26" ht="32" customHeight="1">
      <c r="A6" s="6" t="s">
        <v>106</v>
      </c>
      <c r="B6" s="6" t="s">
        <v>343</v>
      </c>
      <c r="C6" s="6" t="s">
        <v>344</v>
      </c>
      <c r="D6" s="6"/>
      <c r="E6" s="6"/>
      <c r="F6" s="6"/>
      <c r="G6" s="6"/>
      <c r="H6" s="6" t="s">
        <v>356</v>
      </c>
      <c r="I6" s="6"/>
      <c r="J6" s="6"/>
      <c r="K6" s="6"/>
      <c r="L6" s="6"/>
      <c r="M6" s="6"/>
      <c r="N6" s="6"/>
      <c r="O6" s="6"/>
      <c r="P6" s="6"/>
      <c r="Q6" s="6"/>
      <c r="R6" s="6"/>
      <c r="S6" s="6"/>
      <c r="T6" s="6"/>
      <c r="U6" s="6"/>
      <c r="V6" s="6"/>
      <c r="W6" s="6"/>
      <c r="X6" s="6"/>
      <c r="Y6" s="6"/>
      <c r="Z6" s="6"/>
    </row>
    <row r="7" spans="1:26" ht="32" customHeight="1">
      <c r="A7" s="6" t="s">
        <v>357</v>
      </c>
      <c r="B7" s="6" t="s">
        <v>343</v>
      </c>
      <c r="C7" s="6" t="s">
        <v>344</v>
      </c>
      <c r="D7" s="6"/>
      <c r="E7" s="6"/>
      <c r="F7" s="6"/>
      <c r="G7" s="6"/>
      <c r="H7" s="6" t="s">
        <v>358</v>
      </c>
      <c r="I7" s="6"/>
      <c r="J7" s="6"/>
      <c r="K7" s="6"/>
      <c r="L7" s="6"/>
      <c r="M7" s="6"/>
      <c r="N7" s="6"/>
      <c r="O7" s="6"/>
      <c r="P7" s="6"/>
      <c r="Q7" s="6"/>
      <c r="R7" s="6"/>
      <c r="S7" s="6"/>
      <c r="T7" s="6"/>
      <c r="U7" s="6"/>
      <c r="V7" s="6"/>
      <c r="W7" s="6"/>
      <c r="X7" s="6"/>
      <c r="Y7" s="6"/>
      <c r="Z7" s="6"/>
    </row>
    <row r="8" spans="1:26" ht="32" customHeight="1">
      <c r="A8" s="6" t="s">
        <v>359</v>
      </c>
      <c r="B8" s="6" t="s">
        <v>343</v>
      </c>
      <c r="C8" s="6" t="s">
        <v>344</v>
      </c>
      <c r="D8" s="6"/>
      <c r="E8" s="6"/>
      <c r="F8" s="6"/>
      <c r="G8" s="6"/>
      <c r="H8" s="6"/>
      <c r="I8" s="6"/>
      <c r="J8" s="6"/>
      <c r="K8" s="6"/>
      <c r="L8" s="6"/>
      <c r="M8" s="6"/>
      <c r="N8" s="6"/>
      <c r="O8" s="6"/>
      <c r="P8" s="6"/>
      <c r="Q8" s="6"/>
      <c r="R8" s="6"/>
      <c r="S8" s="6"/>
      <c r="T8" s="6"/>
      <c r="U8" s="6"/>
      <c r="V8" s="6"/>
      <c r="W8" s="6"/>
      <c r="X8" s="6"/>
      <c r="Y8" s="6"/>
      <c r="Z8" s="6"/>
    </row>
    <row r="9" spans="1:26" ht="32" customHeight="1">
      <c r="A9" s="6" t="s">
        <v>228</v>
      </c>
      <c r="B9" s="6" t="s">
        <v>343</v>
      </c>
      <c r="C9" s="6" t="s">
        <v>360</v>
      </c>
      <c r="D9" s="6" t="s">
        <v>361</v>
      </c>
      <c r="E9" s="6"/>
      <c r="F9" s="6"/>
      <c r="G9" s="6" t="s">
        <v>362</v>
      </c>
      <c r="H9" s="6"/>
      <c r="I9" s="6"/>
      <c r="J9" s="6"/>
      <c r="K9" s="6"/>
      <c r="L9" s="6"/>
      <c r="M9" s="6"/>
      <c r="N9" s="6"/>
      <c r="O9" s="6"/>
      <c r="P9" s="6"/>
      <c r="Q9" s="6"/>
      <c r="R9" s="6"/>
      <c r="S9" s="6"/>
      <c r="T9" s="6"/>
      <c r="U9" s="6"/>
      <c r="V9" s="6"/>
      <c r="W9" s="6"/>
      <c r="X9" s="6"/>
      <c r="Y9" s="6"/>
      <c r="Z9" s="6"/>
    </row>
    <row r="10" spans="1:26" ht="32" customHeight="1">
      <c r="A10" s="6" t="s">
        <v>242</v>
      </c>
      <c r="B10" s="6" t="s">
        <v>363</v>
      </c>
      <c r="C10" s="6" t="s">
        <v>360</v>
      </c>
      <c r="D10" s="6"/>
      <c r="E10" s="6"/>
      <c r="F10" s="6"/>
      <c r="G10" s="6"/>
      <c r="H10" s="6" t="s">
        <v>364</v>
      </c>
      <c r="I10" s="6"/>
      <c r="J10" s="6"/>
      <c r="K10" s="6"/>
      <c r="L10" s="6"/>
      <c r="M10" s="6"/>
      <c r="N10" s="6"/>
      <c r="O10" s="6"/>
      <c r="P10" s="6"/>
      <c r="Q10" s="6"/>
      <c r="R10" s="6"/>
      <c r="S10" s="6"/>
      <c r="T10" s="6"/>
      <c r="U10" s="6"/>
      <c r="V10" s="6"/>
      <c r="W10" s="6"/>
      <c r="X10" s="6"/>
      <c r="Y10" s="6"/>
      <c r="Z10" s="6"/>
    </row>
    <row r="11" spans="1:26" ht="32" customHeight="1">
      <c r="A11" s="6" t="s">
        <v>159</v>
      </c>
      <c r="B11" s="6" t="s">
        <v>363</v>
      </c>
      <c r="C11" s="6" t="s">
        <v>365</v>
      </c>
      <c r="D11" s="6"/>
      <c r="E11" s="6"/>
      <c r="F11" s="6"/>
      <c r="G11" s="6"/>
      <c r="H11" s="6" t="s">
        <v>366</v>
      </c>
      <c r="I11" s="6"/>
      <c r="J11" s="6"/>
      <c r="K11" s="6"/>
      <c r="L11" s="6"/>
      <c r="M11" s="6"/>
      <c r="N11" s="6"/>
      <c r="O11" s="6"/>
      <c r="P11" s="6"/>
      <c r="Q11" s="6"/>
      <c r="R11" s="6"/>
      <c r="S11" s="6"/>
      <c r="T11" s="6"/>
      <c r="U11" s="6"/>
      <c r="V11" s="6"/>
      <c r="W11" s="6"/>
      <c r="X11" s="6"/>
      <c r="Y11" s="6"/>
      <c r="Z11" s="6"/>
    </row>
    <row r="12" spans="1:26" ht="32"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32"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32"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32"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32"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32"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32"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32"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32"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32"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32"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32"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32"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2">
    <dataValidation type="list" allowBlank="1" showErrorMessage="1" sqref="C4:C200" xr:uid="{00000000-0002-0000-0600-000000000000}">
      <formula1>"ECO_0000218,ECO_0000203,ECO_0007674,ECO_0007673"</formula1>
    </dataValidation>
    <dataValidation type="list" allowBlank="1" showErrorMessage="1" sqref="B4:B200" xr:uid="{00000000-0002-0000-0600-000001000000}">
      <formula1>"software,manual"</formula1>
    </dataValidation>
  </dataValidations>
  <hyperlinks>
    <hyperlink ref="F3" r:id="rId1"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DatasetDescription</vt:lpstr>
      <vt:lpstr>GenomicIdentifier</vt:lpstr>
      <vt:lpstr>Evidence</vt:lpstr>
      <vt:lpstr>validation</vt:lpstr>
      <vt:lpstr>Integration</vt:lpstr>
      <vt:lpstr>Source</vt:lpstr>
      <vt:lpstr>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Elizabeth Lewis</cp:lastModifiedBy>
  <dcterms:modified xsi:type="dcterms:W3CDTF">2026-09-03T13:19:48Z</dcterms:modified>
</cp:coreProperties>
</file>